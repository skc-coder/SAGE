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ummary" sheetId="1" state="visible" r:id="rId1"/>
    <sheet name="Elementary Mathematics" sheetId="2" state="visible" r:id="rId2"/>
    <sheet name="Physics" sheetId="3" state="visible" r:id="rId3"/>
    <sheet name="History" sheetId="4" state="visible" r:id="rId4"/>
    <sheet name="Geography" sheetId="5" state="visible" r:id="rId5"/>
    <sheet name="Indian Polity" sheetId="6" state="visible" r:id="rId6"/>
    <sheet name="Indian Economy" sheetId="7" state="visible" r:id="rId7"/>
    <sheet name="General Knowledge"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Segoe UI"/>
      <b val="1"/>
      <color rgb="001F4E78"/>
      <sz val="16"/>
    </font>
    <font>
      <name val="Segoe UI"/>
      <i val="1"/>
      <color rgb="00595959"/>
      <sz val="11"/>
    </font>
    <font>
      <name val="Segoe UI"/>
      <b val="1"/>
      <color rgb="001F4E78"/>
      <sz val="13"/>
    </font>
    <font>
      <name val="Segoe UI"/>
      <b val="1"/>
      <color rgb="00FFFFFF"/>
      <sz val="11"/>
    </font>
    <font>
      <name val="Segoe UI"/>
      <b val="1"/>
      <color rgb="00000000"/>
      <sz val="10"/>
    </font>
    <font>
      <name val="Segoe UI"/>
      <color rgb="00000000"/>
      <sz val="10"/>
    </font>
    <font>
      <name val="Segoe UI"/>
      <b val="1"/>
      <color rgb="001F4E78"/>
      <sz val="11"/>
    </font>
  </fonts>
  <fills count="4">
    <fill>
      <patternFill/>
    </fill>
    <fill>
      <patternFill patternType="gray125"/>
    </fill>
    <fill>
      <patternFill patternType="solid">
        <fgColor rgb="002F5597"/>
        <bgColor rgb="002F5597"/>
      </patternFill>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pivotButton="0" quotePrefix="0" xfId="0"/>
    <xf numFmtId="0" fontId="6" fillId="0" borderId="1" applyAlignment="1" pivotButton="0" quotePrefix="0" xfId="0">
      <alignment horizontal="center"/>
    </xf>
    <xf numFmtId="164" fontId="5" fillId="0" borderId="1" applyAlignment="1" pivotButton="0" quotePrefix="0" xfId="0">
      <alignment horizontal="center"/>
    </xf>
    <xf numFmtId="165" fontId="6" fillId="0" borderId="1" applyAlignment="1" pivotButton="0" quotePrefix="0" xfId="0">
      <alignment horizontal="center"/>
    </xf>
    <xf numFmtId="0" fontId="7" fillId="0" borderId="1" pivotButton="0" quotePrefix="0" xfId="0"/>
    <xf numFmtId="0" fontId="5" fillId="0" borderId="1" applyAlignment="1" pivotButton="0" quotePrefix="0" xfId="0">
      <alignment horizontal="center"/>
    </xf>
    <xf numFmtId="164" fontId="7" fillId="0" borderId="1" applyAlignment="1" pivotButton="0" quotePrefix="0" xfId="0">
      <alignment horizontal="center"/>
    </xf>
    <xf numFmtId="165" fontId="5" fillId="0" borderId="1" applyAlignment="1" pivotButton="0" quotePrefix="0" xfId="0">
      <alignment horizontal="center"/>
    </xf>
    <xf numFmtId="0" fontId="5" fillId="0" borderId="0" pivotButton="0" quotePrefix="0" xfId="0"/>
    <xf numFmtId="164" fontId="5" fillId="0" borderId="0" pivotButton="0" quotePrefix="0" xfId="0"/>
    <xf numFmtId="0" fontId="4" fillId="3" borderId="0" applyAlignment="1" pivotButton="0" quotePrefix="0" xfId="0">
      <alignment horizontal="center" vertical="center" wrapText="1"/>
    </xf>
    <xf numFmtId="0" fontId="6" fillId="0" borderId="1" applyAlignment="1" pivotButton="0" quotePrefix="0" xfId="0">
      <alignment wrapText="1"/>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28" customWidth="1" min="1" max="1"/>
    <col width="15" customWidth="1" min="2" max="2"/>
    <col width="14" customWidth="1" min="3" max="3"/>
    <col width="14" customWidth="1" min="4" max="4"/>
    <col width="14" customWidth="1" min="5" max="5"/>
    <col width="16" customWidth="1" min="6" max="6"/>
    <col width="20" customWidth="1" min="7" max="7"/>
    <col width="14" customWidth="1" min="8" max="8"/>
    <col width="14" customWidth="1" min="9" max="9"/>
    <col width="14" customWidth="1" min="10" max="10"/>
  </cols>
  <sheetData>
    <row r="1">
      <c r="A1" s="1" t="inlineStr">
        <is>
          <t>CDS EXAM MASTER SYLLABUS &amp; PROGRESS DASHBOARD</t>
        </is>
      </c>
    </row>
    <row r="2">
      <c r="A2" s="2" t="inlineStr">
        <is>
          <t>Track chapter completion, practice marks, and multi-stage revisions across all subjects</t>
        </is>
      </c>
    </row>
    <row r="4">
      <c r="A4" s="3" t="inlineStr">
        <is>
          <t>SUBJECT LEVEL PROGRESS OVERVIEW</t>
        </is>
      </c>
    </row>
    <row r="5">
      <c r="A5" s="4" t="inlineStr">
        <is>
          <t>Subject Name</t>
        </is>
      </c>
      <c r="B5" s="4" t="inlineStr">
        <is>
          <t>Total Chapters</t>
        </is>
      </c>
      <c r="C5" s="4" t="inlineStr">
        <is>
          <t>Completed</t>
        </is>
      </c>
      <c r="D5" s="4" t="inlineStr">
        <is>
          <t>In Progress</t>
        </is>
      </c>
      <c r="E5" s="4" t="inlineStr">
        <is>
          <t>Not Started</t>
        </is>
      </c>
      <c r="F5" s="4" t="inlineStr">
        <is>
          <t>Completion %</t>
        </is>
      </c>
      <c r="G5" s="4" t="inlineStr">
        <is>
          <t>Avg Practice Score</t>
        </is>
      </c>
      <c r="H5" s="4" t="inlineStr">
        <is>
          <t>Rev 1 Done</t>
        </is>
      </c>
      <c r="I5" s="4" t="inlineStr">
        <is>
          <t>Rev 2 Done</t>
        </is>
      </c>
      <c r="J5" s="4" t="inlineStr">
        <is>
          <t>Rev 3 Done</t>
        </is>
      </c>
    </row>
    <row r="6">
      <c r="A6" s="5" t="inlineStr">
        <is>
          <t>Elementary Mathematics</t>
        </is>
      </c>
      <c r="B6" s="6">
        <f>COUNTA('Elementary Mathematics'!A6:A100)</f>
        <v/>
      </c>
      <c r="C6" s="6">
        <f>COUNTIF('Elementary Mathematics'!E6:E100, "Completed")</f>
        <v/>
      </c>
      <c r="D6" s="6">
        <f>COUNTIF('Elementary Mathematics'!E6:E100, "In Progress")</f>
        <v/>
      </c>
      <c r="E6" s="6">
        <f>COUNTIF('Elementary Mathematics'!E6:E100, "Not Started")</f>
        <v/>
      </c>
      <c r="F6" s="7">
        <f>C6/B6</f>
        <v/>
      </c>
      <c r="G6" s="8">
        <f>AVERAGE('Elementary Mathematics'!G6:G100)</f>
        <v/>
      </c>
      <c r="H6" s="6">
        <f>COUNTIF('Elementary Mathematics'!H6:H100, "Yes")</f>
        <v/>
      </c>
      <c r="I6" s="6">
        <f>COUNTIF('Elementary Mathematics'!I6:I100, "Yes")</f>
        <v/>
      </c>
      <c r="J6" s="6">
        <f>COUNTIF('Elementary Mathematics'!J6:J100, "Yes")</f>
        <v/>
      </c>
    </row>
    <row r="7">
      <c r="A7" s="5" t="inlineStr">
        <is>
          <t>Physics</t>
        </is>
      </c>
      <c r="B7" s="6">
        <f>COUNTA('Physics'!A6:A100)</f>
        <v/>
      </c>
      <c r="C7" s="6">
        <f>COUNTIF('Physics'!E6:E100, "Completed")</f>
        <v/>
      </c>
      <c r="D7" s="6">
        <f>COUNTIF('Physics'!E6:E100, "In Progress")</f>
        <v/>
      </c>
      <c r="E7" s="6">
        <f>COUNTIF('Physics'!E6:E100, "Not Started")</f>
        <v/>
      </c>
      <c r="F7" s="7">
        <f>C7/B7</f>
        <v/>
      </c>
      <c r="G7" s="8">
        <f>AVERAGE('Physics'!G6:G100)</f>
        <v/>
      </c>
      <c r="H7" s="6">
        <f>COUNTIF('Physics'!H6:H100, "Yes")</f>
        <v/>
      </c>
      <c r="I7" s="6">
        <f>COUNTIF('Physics'!I6:I100, "Yes")</f>
        <v/>
      </c>
      <c r="J7" s="6">
        <f>COUNTIF('Physics'!J6:J100, "Yes")</f>
        <v/>
      </c>
    </row>
    <row r="8">
      <c r="A8" s="5" t="inlineStr">
        <is>
          <t>History</t>
        </is>
      </c>
      <c r="B8" s="6">
        <f>COUNTA('History'!A6:A100)</f>
        <v/>
      </c>
      <c r="C8" s="6">
        <f>COUNTIF('History'!E6:E100, "Completed")</f>
        <v/>
      </c>
      <c r="D8" s="6">
        <f>COUNTIF('History'!E6:E100, "In Progress")</f>
        <v/>
      </c>
      <c r="E8" s="6">
        <f>COUNTIF('History'!E6:E100, "Not Started")</f>
        <v/>
      </c>
      <c r="F8" s="7">
        <f>C8/B8</f>
        <v/>
      </c>
      <c r="G8" s="8">
        <f>AVERAGE('History'!G6:G100)</f>
        <v/>
      </c>
      <c r="H8" s="6">
        <f>COUNTIF('History'!H6:H100, "Yes")</f>
        <v/>
      </c>
      <c r="I8" s="6">
        <f>COUNTIF('History'!I6:I100, "Yes")</f>
        <v/>
      </c>
      <c r="J8" s="6">
        <f>COUNTIF('History'!J6:J100, "Yes")</f>
        <v/>
      </c>
    </row>
    <row r="9">
      <c r="A9" s="5" t="inlineStr">
        <is>
          <t>Geography</t>
        </is>
      </c>
      <c r="B9" s="6">
        <f>COUNTA('Geography'!A6:A100)</f>
        <v/>
      </c>
      <c r="C9" s="6">
        <f>COUNTIF('Geography'!E6:E100, "Completed")</f>
        <v/>
      </c>
      <c r="D9" s="6">
        <f>COUNTIF('Geography'!E6:E100, "In Progress")</f>
        <v/>
      </c>
      <c r="E9" s="6">
        <f>COUNTIF('Geography'!E6:E100, "Not Started")</f>
        <v/>
      </c>
      <c r="F9" s="7">
        <f>C9/B9</f>
        <v/>
      </c>
      <c r="G9" s="8">
        <f>AVERAGE('Geography'!G6:G100)</f>
        <v/>
      </c>
      <c r="H9" s="6">
        <f>COUNTIF('Geography'!H6:H100, "Yes")</f>
        <v/>
      </c>
      <c r="I9" s="6">
        <f>COUNTIF('Geography'!I6:I100, "Yes")</f>
        <v/>
      </c>
      <c r="J9" s="6">
        <f>COUNTIF('Geography'!J6:J100, "Yes")</f>
        <v/>
      </c>
    </row>
    <row r="10">
      <c r="A10" s="5" t="inlineStr">
        <is>
          <t>Indian Polity</t>
        </is>
      </c>
      <c r="B10" s="6">
        <f>COUNTA('Indian Polity'!A6:A100)</f>
        <v/>
      </c>
      <c r="C10" s="6">
        <f>COUNTIF('Indian Polity'!E6:E100, "Completed")</f>
        <v/>
      </c>
      <c r="D10" s="6">
        <f>COUNTIF('Indian Polity'!E6:E100, "In Progress")</f>
        <v/>
      </c>
      <c r="E10" s="6">
        <f>COUNTIF('Indian Polity'!E6:E100, "Not Started")</f>
        <v/>
      </c>
      <c r="F10" s="7">
        <f>C10/B10</f>
        <v/>
      </c>
      <c r="G10" s="8">
        <f>AVERAGE('Indian Polity'!G6:G100)</f>
        <v/>
      </c>
      <c r="H10" s="6">
        <f>COUNTIF('Indian Polity'!H6:H100, "Yes")</f>
        <v/>
      </c>
      <c r="I10" s="6">
        <f>COUNTIF('Indian Polity'!I6:I100, "Yes")</f>
        <v/>
      </c>
      <c r="J10" s="6">
        <f>COUNTIF('Indian Polity'!J6:J100, "Yes")</f>
        <v/>
      </c>
    </row>
    <row r="11">
      <c r="A11" s="5" t="inlineStr">
        <is>
          <t>Indian Economy</t>
        </is>
      </c>
      <c r="B11" s="6">
        <f>COUNTA('Indian Economy'!A6:A100)</f>
        <v/>
      </c>
      <c r="C11" s="6">
        <f>COUNTIF('Indian Economy'!E6:E100, "Completed")</f>
        <v/>
      </c>
      <c r="D11" s="6">
        <f>COUNTIF('Indian Economy'!E6:E100, "In Progress")</f>
        <v/>
      </c>
      <c r="E11" s="6">
        <f>COUNTIF('Indian Economy'!E6:E100, "Not Started")</f>
        <v/>
      </c>
      <c r="F11" s="7">
        <f>C11/B11</f>
        <v/>
      </c>
      <c r="G11" s="8">
        <f>AVERAGE('Indian Economy'!G6:G100)</f>
        <v/>
      </c>
      <c r="H11" s="6">
        <f>COUNTIF('Indian Economy'!H6:H100, "Yes")</f>
        <v/>
      </c>
      <c r="I11" s="6">
        <f>COUNTIF('Indian Economy'!I6:I100, "Yes")</f>
        <v/>
      </c>
      <c r="J11" s="6">
        <f>COUNTIF('Indian Economy'!J6:J100, "Yes")</f>
        <v/>
      </c>
    </row>
    <row r="12">
      <c r="A12" s="5" t="inlineStr">
        <is>
          <t>General Knowledge</t>
        </is>
      </c>
      <c r="B12" s="6">
        <f>COUNTA('General Knowledge'!A6:A100)</f>
        <v/>
      </c>
      <c r="C12" s="6">
        <f>COUNTIF('General Knowledge'!E6:E100, "Completed")</f>
        <v/>
      </c>
      <c r="D12" s="6">
        <f>COUNTIF('General Knowledge'!E6:E100, "In Progress")</f>
        <v/>
      </c>
      <c r="E12" s="6">
        <f>COUNTIF('General Knowledge'!E6:E100, "Not Started")</f>
        <v/>
      </c>
      <c r="F12" s="7">
        <f>C12/B12</f>
        <v/>
      </c>
      <c r="G12" s="8">
        <f>AVERAGE('General Knowledge'!G6:G100)</f>
        <v/>
      </c>
      <c r="H12" s="6">
        <f>COUNTIF('General Knowledge'!H6:H100, "Yes")</f>
        <v/>
      </c>
      <c r="I12" s="6">
        <f>COUNTIF('General Knowledge'!I6:I100, "Yes")</f>
        <v/>
      </c>
      <c r="J12" s="6">
        <f>COUNTIF('General Knowledge'!J6:J100, "Yes")</f>
        <v/>
      </c>
    </row>
    <row r="13">
      <c r="A13" s="9" t="inlineStr">
        <is>
          <t>TOTAL / OVERALL</t>
        </is>
      </c>
      <c r="B13" s="10">
        <f>SUM(B6:B12)</f>
        <v/>
      </c>
      <c r="C13" s="10">
        <f>SUM(C6:C12)</f>
        <v/>
      </c>
      <c r="D13" s="10">
        <f>SUM(D6:D12)</f>
        <v/>
      </c>
      <c r="E13" s="10">
        <f>SUM(E6:E12)</f>
        <v/>
      </c>
      <c r="F13" s="11">
        <f>C13/B13</f>
        <v/>
      </c>
      <c r="G13" s="12">
        <f>AVERAGE(G6:G12)</f>
        <v/>
      </c>
      <c r="H13" s="10">
        <f>SUM(H6:H12)</f>
        <v/>
      </c>
      <c r="I13" s="10">
        <f>SUM(I6:I12)</f>
        <v/>
      </c>
      <c r="J13" s="10">
        <f>SUM(J6:J12)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ELEMENTARY MATHEMATICS - CHAPTER SYLLABUS &amp; TRACKER</t>
        </is>
      </c>
    </row>
    <row r="2">
      <c r="A2" s="2" t="inlineStr">
        <is>
          <t>Select Status and Revision drop-downs. Enter Practice Marks to auto-calculate percentages.</t>
        </is>
      </c>
    </row>
    <row r="4">
      <c r="A4" s="13" t="inlineStr">
        <is>
          <t>Total Chapters:</t>
        </is>
      </c>
      <c r="B4" s="13">
        <f>COUNTA(A6:A33)</f>
        <v/>
      </c>
      <c r="D4" s="13" t="inlineStr">
        <is>
          <t>Completed:</t>
        </is>
      </c>
      <c r="E4" s="13">
        <f>COUNTIF(E6:E33, "Completed")</f>
        <v/>
      </c>
      <c r="G4" s="13" t="inlineStr">
        <is>
          <t>Progress %:</t>
        </is>
      </c>
      <c r="H4" s="14">
        <f>E4/B4</f>
        <v/>
      </c>
      <c r="J4" s="13" t="inlineStr">
        <is>
          <t>Avg Practice Score:</t>
        </is>
      </c>
      <c r="K4" s="14">
        <f>AVERAGE(F6:F33)</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Number System</t>
        </is>
      </c>
      <c r="C6" s="16" t="inlineStr">
        <is>
          <t>Number Theory, Divisibility, Prime Numbers, Factors</t>
        </is>
      </c>
      <c r="D6" s="6" t="inlineStr">
        <is>
          <t>Medium</t>
        </is>
      </c>
      <c r="E6" s="6" t="inlineStr">
        <is>
          <t>Not Started</t>
        </is>
      </c>
      <c r="F6" s="7">
        <f>IF(G6&gt;0, G6/10, 0)</f>
        <v/>
      </c>
      <c r="G6" s="6" t="n">
        <v>0</v>
      </c>
      <c r="H6" s="6" t="inlineStr">
        <is>
          <t>No</t>
        </is>
      </c>
      <c r="I6" s="6" t="inlineStr">
        <is>
          <t>No</t>
        </is>
      </c>
      <c r="J6" s="6" t="inlineStr">
        <is>
          <t>No</t>
        </is>
      </c>
      <c r="K6" s="17" t="inlineStr"/>
    </row>
    <row r="7">
      <c r="A7" s="6" t="inlineStr">
        <is>
          <t>Ch 02</t>
        </is>
      </c>
      <c r="B7" s="5" t="inlineStr">
        <is>
          <t>Sequence and Series</t>
        </is>
      </c>
      <c r="C7" s="16" t="inlineStr">
        <is>
          <t>Arithmetic Progression (AP), Geometric Progression (GP)</t>
        </is>
      </c>
      <c r="D7" s="6" t="inlineStr">
        <is>
          <t>Medium</t>
        </is>
      </c>
      <c r="E7" s="6" t="inlineStr">
        <is>
          <t>Not Started</t>
        </is>
      </c>
      <c r="F7" s="7">
        <f>IF(G7&gt;0, G7/8, 0)</f>
        <v/>
      </c>
      <c r="G7" s="6" t="n">
        <v>0</v>
      </c>
      <c r="H7" s="6" t="inlineStr">
        <is>
          <t>No</t>
        </is>
      </c>
      <c r="I7" s="6" t="inlineStr">
        <is>
          <t>No</t>
        </is>
      </c>
      <c r="J7" s="6" t="inlineStr">
        <is>
          <t>No</t>
        </is>
      </c>
      <c r="K7" s="17" t="inlineStr"/>
    </row>
    <row r="8">
      <c r="A8" s="6" t="inlineStr">
        <is>
          <t>Ch 03</t>
        </is>
      </c>
      <c r="B8" s="5" t="inlineStr">
        <is>
          <t>HCF and LCM of Numbers</t>
        </is>
      </c>
      <c r="C8" s="16" t="inlineStr">
        <is>
          <t>Prime Factorization, Division Method, Word Problems</t>
        </is>
      </c>
      <c r="D8" s="6" t="inlineStr">
        <is>
          <t>Medium</t>
        </is>
      </c>
      <c r="E8" s="6" t="inlineStr">
        <is>
          <t>Not Started</t>
        </is>
      </c>
      <c r="F8" s="7">
        <f>IF(G8&gt;0, G8/8, 0)</f>
        <v/>
      </c>
      <c r="G8" s="6" t="n">
        <v>0</v>
      </c>
      <c r="H8" s="6" t="inlineStr">
        <is>
          <t>No</t>
        </is>
      </c>
      <c r="I8" s="6" t="inlineStr">
        <is>
          <t>No</t>
        </is>
      </c>
      <c r="J8" s="6" t="inlineStr">
        <is>
          <t>No</t>
        </is>
      </c>
      <c r="K8" s="17" t="inlineStr"/>
    </row>
    <row r="9">
      <c r="A9" s="6" t="inlineStr">
        <is>
          <t>Ch 04</t>
        </is>
      </c>
      <c r="B9" s="5" t="inlineStr">
        <is>
          <t>Modular Arithmetic &amp; Remainders</t>
        </is>
      </c>
      <c r="C9" s="16" t="inlineStr">
        <is>
          <t>Remainder Theorems, Congruence, Euler Totient</t>
        </is>
      </c>
      <c r="D9" s="6" t="inlineStr">
        <is>
          <t>Medium</t>
        </is>
      </c>
      <c r="E9" s="6" t="inlineStr">
        <is>
          <t>Not Started</t>
        </is>
      </c>
      <c r="F9" s="7">
        <f>IF(G9&gt;0, G9/6, 0)</f>
        <v/>
      </c>
      <c r="G9" s="6" t="n">
        <v>0</v>
      </c>
      <c r="H9" s="6" t="inlineStr">
        <is>
          <t>No</t>
        </is>
      </c>
      <c r="I9" s="6" t="inlineStr">
        <is>
          <t>No</t>
        </is>
      </c>
      <c r="J9" s="6" t="inlineStr">
        <is>
          <t>No</t>
        </is>
      </c>
      <c r="K9" s="17" t="inlineStr"/>
    </row>
    <row r="10">
      <c r="A10" s="6" t="inlineStr">
        <is>
          <t>Ch 05</t>
        </is>
      </c>
      <c r="B10" s="5" t="inlineStr">
        <is>
          <t>Square Roots and Cube Roots</t>
        </is>
      </c>
      <c r="C10" s="16" t="inlineStr">
        <is>
          <t>Simplification, Surds and Indices, Approximations</t>
        </is>
      </c>
      <c r="D10" s="6" t="inlineStr">
        <is>
          <t>Medium</t>
        </is>
      </c>
      <c r="E10" s="6" t="inlineStr">
        <is>
          <t>Not Started</t>
        </is>
      </c>
      <c r="F10" s="7">
        <f>IF(G10&gt;0, G10/6, 0)</f>
        <v/>
      </c>
      <c r="G10" s="6" t="n">
        <v>0</v>
      </c>
      <c r="H10" s="6" t="inlineStr">
        <is>
          <t>No</t>
        </is>
      </c>
      <c r="I10" s="6" t="inlineStr">
        <is>
          <t>No</t>
        </is>
      </c>
      <c r="J10" s="6" t="inlineStr">
        <is>
          <t>No</t>
        </is>
      </c>
      <c r="K10" s="17" t="inlineStr"/>
    </row>
    <row r="11">
      <c r="A11" s="6" t="inlineStr">
        <is>
          <t>Ch 06</t>
        </is>
      </c>
      <c r="B11" s="5" t="inlineStr">
        <is>
          <t>Time and Distance</t>
        </is>
      </c>
      <c r="C11" s="16" t="inlineStr">
        <is>
          <t>Speed, Distance, Trains, Boats &amp; Streams, Relative Speed</t>
        </is>
      </c>
      <c r="D11" s="6" t="inlineStr">
        <is>
          <t>Medium</t>
        </is>
      </c>
      <c r="E11" s="6" t="inlineStr">
        <is>
          <t>Not Started</t>
        </is>
      </c>
      <c r="F11" s="7">
        <f>IF(G11&gt;0, G11/10, 0)</f>
        <v/>
      </c>
      <c r="G11" s="6" t="n">
        <v>0</v>
      </c>
      <c r="H11" s="6" t="inlineStr">
        <is>
          <t>No</t>
        </is>
      </c>
      <c r="I11" s="6" t="inlineStr">
        <is>
          <t>No</t>
        </is>
      </c>
      <c r="J11" s="6" t="inlineStr">
        <is>
          <t>No</t>
        </is>
      </c>
      <c r="K11" s="17" t="inlineStr"/>
    </row>
    <row r="12">
      <c r="A12" s="6" t="inlineStr">
        <is>
          <t>Ch 07</t>
        </is>
      </c>
      <c r="B12" s="5" t="inlineStr">
        <is>
          <t>Time and Work</t>
        </is>
      </c>
      <c r="C12" s="16" t="inlineStr">
        <is>
          <t>Work Efficiency, Pipes and Cisterns, Alternative Days</t>
        </is>
      </c>
      <c r="D12" s="6" t="inlineStr">
        <is>
          <t>Medium</t>
        </is>
      </c>
      <c r="E12" s="6" t="inlineStr">
        <is>
          <t>Not Started</t>
        </is>
      </c>
      <c r="F12" s="7">
        <f>IF(G12&gt;0, G12/10, 0)</f>
        <v/>
      </c>
      <c r="G12" s="6" t="n">
        <v>0</v>
      </c>
      <c r="H12" s="6" t="inlineStr">
        <is>
          <t>No</t>
        </is>
      </c>
      <c r="I12" s="6" t="inlineStr">
        <is>
          <t>No</t>
        </is>
      </c>
      <c r="J12" s="6" t="inlineStr">
        <is>
          <t>No</t>
        </is>
      </c>
      <c r="K12" s="17" t="inlineStr"/>
    </row>
    <row r="13">
      <c r="A13" s="6" t="inlineStr">
        <is>
          <t>Ch 08</t>
        </is>
      </c>
      <c r="B13" s="5" t="inlineStr">
        <is>
          <t>Percentage</t>
        </is>
      </c>
      <c r="C13" s="16" t="inlineStr">
        <is>
          <t>Percentage Increase/Decrease, Population, Successive Change</t>
        </is>
      </c>
      <c r="D13" s="6" t="inlineStr">
        <is>
          <t>Medium</t>
        </is>
      </c>
      <c r="E13" s="6" t="inlineStr">
        <is>
          <t>Not Started</t>
        </is>
      </c>
      <c r="F13" s="7">
        <f>IF(G13&gt;0, G13/10, 0)</f>
        <v/>
      </c>
      <c r="G13" s="6" t="n">
        <v>0</v>
      </c>
      <c r="H13" s="6" t="inlineStr">
        <is>
          <t>No</t>
        </is>
      </c>
      <c r="I13" s="6" t="inlineStr">
        <is>
          <t>No</t>
        </is>
      </c>
      <c r="J13" s="6" t="inlineStr">
        <is>
          <t>No</t>
        </is>
      </c>
      <c r="K13" s="17" t="inlineStr"/>
    </row>
    <row r="14">
      <c r="A14" s="6" t="inlineStr">
        <is>
          <t>Ch 09</t>
        </is>
      </c>
      <c r="B14" s="5" t="inlineStr">
        <is>
          <t>Simple Interest</t>
        </is>
      </c>
      <c r="C14" s="16" t="inlineStr">
        <is>
          <t>Principal, Rate, Time, Compound Interest comparison</t>
        </is>
      </c>
      <c r="D14" s="6" t="inlineStr">
        <is>
          <t>Medium</t>
        </is>
      </c>
      <c r="E14" s="6" t="inlineStr">
        <is>
          <t>Not Started</t>
        </is>
      </c>
      <c r="F14" s="7">
        <f>IF(G14&gt;0, G14/8, 0)</f>
        <v/>
      </c>
      <c r="G14" s="6" t="n">
        <v>0</v>
      </c>
      <c r="H14" s="6" t="inlineStr">
        <is>
          <t>No</t>
        </is>
      </c>
      <c r="I14" s="6" t="inlineStr">
        <is>
          <t>No</t>
        </is>
      </c>
      <c r="J14" s="6" t="inlineStr">
        <is>
          <t>No</t>
        </is>
      </c>
      <c r="K14" s="17" t="inlineStr"/>
    </row>
    <row r="15">
      <c r="A15" s="6" t="inlineStr">
        <is>
          <t>Ch 10</t>
        </is>
      </c>
      <c r="B15" s="5" t="inlineStr">
        <is>
          <t>Compound Interest</t>
        </is>
      </c>
      <c r="C15" s="16" t="inlineStr">
        <is>
          <t>Effective Rate, Difference between CI &amp; SI</t>
        </is>
      </c>
      <c r="D15" s="6" t="inlineStr">
        <is>
          <t>Medium</t>
        </is>
      </c>
      <c r="E15" s="6" t="inlineStr">
        <is>
          <t>Not Started</t>
        </is>
      </c>
      <c r="F15" s="7">
        <f>IF(G15&gt;0, G15/8, 0)</f>
        <v/>
      </c>
      <c r="G15" s="6" t="n">
        <v>0</v>
      </c>
      <c r="H15" s="6" t="inlineStr">
        <is>
          <t>No</t>
        </is>
      </c>
      <c r="I15" s="6" t="inlineStr">
        <is>
          <t>No</t>
        </is>
      </c>
      <c r="J15" s="6" t="inlineStr">
        <is>
          <t>No</t>
        </is>
      </c>
      <c r="K15" s="17" t="inlineStr"/>
    </row>
    <row r="16">
      <c r="A16" s="6" t="inlineStr">
        <is>
          <t>Ch 11</t>
        </is>
      </c>
      <c r="B16" s="5" t="inlineStr">
        <is>
          <t>Profit and Loss</t>
        </is>
      </c>
      <c r="C16" s="16" t="inlineStr">
        <is>
          <t>Cost Price, Selling Price, Discount, Marked Price</t>
        </is>
      </c>
      <c r="D16" s="6" t="inlineStr">
        <is>
          <t>Medium</t>
        </is>
      </c>
      <c r="E16" s="6" t="inlineStr">
        <is>
          <t>Not Started</t>
        </is>
      </c>
      <c r="F16" s="7">
        <f>IF(G16&gt;0, G16/10, 0)</f>
        <v/>
      </c>
      <c r="G16" s="6" t="n">
        <v>0</v>
      </c>
      <c r="H16" s="6" t="inlineStr">
        <is>
          <t>No</t>
        </is>
      </c>
      <c r="I16" s="6" t="inlineStr">
        <is>
          <t>No</t>
        </is>
      </c>
      <c r="J16" s="6" t="inlineStr">
        <is>
          <t>No</t>
        </is>
      </c>
      <c r="K16" s="17" t="inlineStr"/>
    </row>
    <row r="17">
      <c r="A17" s="6" t="inlineStr">
        <is>
          <t>Ch 12</t>
        </is>
      </c>
      <c r="B17" s="5" t="inlineStr">
        <is>
          <t>Ratio and Proportion</t>
        </is>
      </c>
      <c r="C17" s="16" t="inlineStr">
        <is>
          <t>Direct &amp; Inverse Variation, Mixtures &amp; Alligations, Ages</t>
        </is>
      </c>
      <c r="D17" s="6" t="inlineStr">
        <is>
          <t>Medium</t>
        </is>
      </c>
      <c r="E17" s="6" t="inlineStr">
        <is>
          <t>Not Started</t>
        </is>
      </c>
      <c r="F17" s="7">
        <f>IF(G17&gt;0, G17/10, 0)</f>
        <v/>
      </c>
      <c r="G17" s="6" t="n">
        <v>0</v>
      </c>
      <c r="H17" s="6" t="inlineStr">
        <is>
          <t>No</t>
        </is>
      </c>
      <c r="I17" s="6" t="inlineStr">
        <is>
          <t>No</t>
        </is>
      </c>
      <c r="J17" s="6" t="inlineStr">
        <is>
          <t>No</t>
        </is>
      </c>
      <c r="K17" s="17" t="inlineStr"/>
    </row>
    <row r="18">
      <c r="A18" s="6" t="inlineStr">
        <is>
          <t>Ch 13</t>
        </is>
      </c>
      <c r="B18" s="5" t="inlineStr">
        <is>
          <t>Logarithms</t>
        </is>
      </c>
      <c r="C18" s="16" t="inlineStr">
        <is>
          <t>Properties of Logarithms, Logarithmic Equations</t>
        </is>
      </c>
      <c r="D18" s="6" t="inlineStr">
        <is>
          <t>Medium</t>
        </is>
      </c>
      <c r="E18" s="6" t="inlineStr">
        <is>
          <t>Not Started</t>
        </is>
      </c>
      <c r="F18" s="7">
        <f>IF(G18&gt;0, G18/6, 0)</f>
        <v/>
      </c>
      <c r="G18" s="6" t="n">
        <v>0</v>
      </c>
      <c r="H18" s="6" t="inlineStr">
        <is>
          <t>No</t>
        </is>
      </c>
      <c r="I18" s="6" t="inlineStr">
        <is>
          <t>No</t>
        </is>
      </c>
      <c r="J18" s="6" t="inlineStr">
        <is>
          <t>No</t>
        </is>
      </c>
      <c r="K18" s="17" t="inlineStr"/>
    </row>
    <row r="19">
      <c r="A19" s="6" t="inlineStr">
        <is>
          <t>Ch 14</t>
        </is>
      </c>
      <c r="B19" s="5" t="inlineStr">
        <is>
          <t>Basic Algebra</t>
        </is>
      </c>
      <c r="C19" s="16" t="inlineStr">
        <is>
          <t>Algebraic Identities, Polynomial Operations</t>
        </is>
      </c>
      <c r="D19" s="6" t="inlineStr">
        <is>
          <t>Medium</t>
        </is>
      </c>
      <c r="E19" s="6" t="inlineStr">
        <is>
          <t>Not Started</t>
        </is>
      </c>
      <c r="F19" s="7">
        <f>IF(G19&gt;0, G19/8, 0)</f>
        <v/>
      </c>
      <c r="G19" s="6" t="n">
        <v>0</v>
      </c>
      <c r="H19" s="6" t="inlineStr">
        <is>
          <t>No</t>
        </is>
      </c>
      <c r="I19" s="6" t="inlineStr">
        <is>
          <t>No</t>
        </is>
      </c>
      <c r="J19" s="6" t="inlineStr">
        <is>
          <t>No</t>
        </is>
      </c>
      <c r="K19" s="17" t="inlineStr"/>
    </row>
    <row r="20">
      <c r="A20" s="6" t="inlineStr">
        <is>
          <t>Ch 15</t>
        </is>
      </c>
      <c r="B20" s="5" t="inlineStr">
        <is>
          <t>HCF and LCM of Polynomials</t>
        </is>
      </c>
      <c r="C20" s="16" t="inlineStr">
        <is>
          <t>Factorization of Polynomials, Common Factors</t>
        </is>
      </c>
      <c r="D20" s="6" t="inlineStr">
        <is>
          <t>Medium</t>
        </is>
      </c>
      <c r="E20" s="6" t="inlineStr">
        <is>
          <t>Not Started</t>
        </is>
      </c>
      <c r="F20" s="7">
        <f>IF(G20&gt;0, G20/6, 0)</f>
        <v/>
      </c>
      <c r="G20" s="6" t="n">
        <v>0</v>
      </c>
      <c r="H20" s="6" t="inlineStr">
        <is>
          <t>No</t>
        </is>
      </c>
      <c r="I20" s="6" t="inlineStr">
        <is>
          <t>No</t>
        </is>
      </c>
      <c r="J20" s="6" t="inlineStr">
        <is>
          <t>No</t>
        </is>
      </c>
      <c r="K20" s="17" t="inlineStr"/>
    </row>
    <row r="21">
      <c r="A21" s="6" t="inlineStr">
        <is>
          <t>Ch 16</t>
        </is>
      </c>
      <c r="B21" s="5" t="inlineStr">
        <is>
          <t>Rational Expressions</t>
        </is>
      </c>
      <c r="C21" s="16" t="inlineStr">
        <is>
          <t>Simplification, Partial Fractions, Algebraic Expressions</t>
        </is>
      </c>
      <c r="D21" s="6" t="inlineStr">
        <is>
          <t>Medium</t>
        </is>
      </c>
      <c r="E21" s="6" t="inlineStr">
        <is>
          <t>Not Started</t>
        </is>
      </c>
      <c r="F21" s="7">
        <f>IF(G21&gt;0, G21/6, 0)</f>
        <v/>
      </c>
      <c r="G21" s="6" t="n">
        <v>0</v>
      </c>
      <c r="H21" s="6" t="inlineStr">
        <is>
          <t>No</t>
        </is>
      </c>
      <c r="I21" s="6" t="inlineStr">
        <is>
          <t>No</t>
        </is>
      </c>
      <c r="J21" s="6" t="inlineStr">
        <is>
          <t>No</t>
        </is>
      </c>
      <c r="K21" s="17" t="inlineStr"/>
    </row>
    <row r="22">
      <c r="A22" s="6" t="inlineStr">
        <is>
          <t>Ch 17</t>
        </is>
      </c>
      <c r="B22" s="5" t="inlineStr">
        <is>
          <t>Linear Equations</t>
        </is>
      </c>
      <c r="C22" s="16" t="inlineStr">
        <is>
          <t>Equations in 1 &amp; 2 Variables, Word Problems</t>
        </is>
      </c>
      <c r="D22" s="6" t="inlineStr">
        <is>
          <t>Medium</t>
        </is>
      </c>
      <c r="E22" s="6" t="inlineStr">
        <is>
          <t>Not Started</t>
        </is>
      </c>
      <c r="F22" s="7">
        <f>IF(G22&gt;0, G22/8, 0)</f>
        <v/>
      </c>
      <c r="G22" s="6" t="n">
        <v>0</v>
      </c>
      <c r="H22" s="6" t="inlineStr">
        <is>
          <t>No</t>
        </is>
      </c>
      <c r="I22" s="6" t="inlineStr">
        <is>
          <t>No</t>
        </is>
      </c>
      <c r="J22" s="6" t="inlineStr">
        <is>
          <t>No</t>
        </is>
      </c>
      <c r="K22" s="17" t="inlineStr"/>
    </row>
    <row r="23">
      <c r="A23" s="6" t="inlineStr">
        <is>
          <t>Ch 18</t>
        </is>
      </c>
      <c r="B23" s="5" t="inlineStr">
        <is>
          <t>Quadratic Equations &amp; Inequalities</t>
        </is>
      </c>
      <c r="C23" s="16" t="inlineStr">
        <is>
          <t>Roots, Discriminant, Nature of Roots, Quadratic Curves</t>
        </is>
      </c>
      <c r="D23" s="6" t="inlineStr">
        <is>
          <t>Medium</t>
        </is>
      </c>
      <c r="E23" s="6" t="inlineStr">
        <is>
          <t>Not Started</t>
        </is>
      </c>
      <c r="F23" s="7">
        <f>IF(G23&gt;0, G23/10, 0)</f>
        <v/>
      </c>
      <c r="G23" s="6" t="n">
        <v>0</v>
      </c>
      <c r="H23" s="6" t="inlineStr">
        <is>
          <t>No</t>
        </is>
      </c>
      <c r="I23" s="6" t="inlineStr">
        <is>
          <t>No</t>
        </is>
      </c>
      <c r="J23" s="6" t="inlineStr">
        <is>
          <t>No</t>
        </is>
      </c>
      <c r="K23" s="17" t="inlineStr"/>
    </row>
    <row r="24">
      <c r="A24" s="6" t="inlineStr">
        <is>
          <t>Ch 19</t>
        </is>
      </c>
      <c r="B24" s="5" t="inlineStr">
        <is>
          <t>Set Theory</t>
        </is>
      </c>
      <c r="C24" s="16" t="inlineStr">
        <is>
          <t>Venn Diagrams, Subsets, Operations on Sets</t>
        </is>
      </c>
      <c r="D24" s="6" t="inlineStr">
        <is>
          <t>Medium</t>
        </is>
      </c>
      <c r="E24" s="6" t="inlineStr">
        <is>
          <t>Not Started</t>
        </is>
      </c>
      <c r="F24" s="7">
        <f>IF(G24&gt;0, G24/6, 0)</f>
        <v/>
      </c>
      <c r="G24" s="6" t="n">
        <v>0</v>
      </c>
      <c r="H24" s="6" t="inlineStr">
        <is>
          <t>No</t>
        </is>
      </c>
      <c r="I24" s="6" t="inlineStr">
        <is>
          <t>No</t>
        </is>
      </c>
      <c r="J24" s="6" t="inlineStr">
        <is>
          <t>No</t>
        </is>
      </c>
      <c r="K24" s="17" t="inlineStr"/>
    </row>
    <row r="25">
      <c r="A25" s="6" t="inlineStr">
        <is>
          <t>Ch 20</t>
        </is>
      </c>
      <c r="B25" s="5" t="inlineStr">
        <is>
          <t>Trigonometric Ratios &amp; Angles</t>
        </is>
      </c>
      <c r="C25" s="16" t="inlineStr">
        <is>
          <t>Identities, Specific Angles, Standard Values</t>
        </is>
      </c>
      <c r="D25" s="6" t="inlineStr">
        <is>
          <t>High</t>
        </is>
      </c>
      <c r="E25" s="6" t="inlineStr">
        <is>
          <t>Not Started</t>
        </is>
      </c>
      <c r="F25" s="7">
        <f>IF(G25&gt;0, G25/12, 0)</f>
        <v/>
      </c>
      <c r="G25" s="6" t="n">
        <v>0</v>
      </c>
      <c r="H25" s="6" t="inlineStr">
        <is>
          <t>No</t>
        </is>
      </c>
      <c r="I25" s="6" t="inlineStr">
        <is>
          <t>No</t>
        </is>
      </c>
      <c r="J25" s="6" t="inlineStr">
        <is>
          <t>No</t>
        </is>
      </c>
      <c r="K25" s="17" t="inlineStr"/>
    </row>
    <row r="26">
      <c r="A26" s="6" t="inlineStr">
        <is>
          <t>Ch 21</t>
        </is>
      </c>
      <c r="B26" s="5" t="inlineStr">
        <is>
          <t>Trigonometric Identities &amp; Equations</t>
        </is>
      </c>
      <c r="C26" s="16" t="inlineStr">
        <is>
          <t>Compound Angles, Transformations, Conditional Identities</t>
        </is>
      </c>
      <c r="D26" s="6" t="inlineStr">
        <is>
          <t>Medium</t>
        </is>
      </c>
      <c r="E26" s="6" t="inlineStr">
        <is>
          <t>Not Started</t>
        </is>
      </c>
      <c r="F26" s="7">
        <f>IF(G26&gt;0, G26/10, 0)</f>
        <v/>
      </c>
      <c r="G26" s="6" t="n">
        <v>0</v>
      </c>
      <c r="H26" s="6" t="inlineStr">
        <is>
          <t>No</t>
        </is>
      </c>
      <c r="I26" s="6" t="inlineStr">
        <is>
          <t>No</t>
        </is>
      </c>
      <c r="J26" s="6" t="inlineStr">
        <is>
          <t>No</t>
        </is>
      </c>
      <c r="K26" s="17" t="inlineStr"/>
    </row>
    <row r="27">
      <c r="A27" s="6" t="inlineStr">
        <is>
          <t>Ch 22</t>
        </is>
      </c>
      <c r="B27" s="5" t="inlineStr">
        <is>
          <t>Heights and Distances</t>
        </is>
      </c>
      <c r="C27" s="16" t="inlineStr">
        <is>
          <t>Angle of Elevation, Angle of Depression, Shadow Problems</t>
        </is>
      </c>
      <c r="D27" s="6" t="inlineStr">
        <is>
          <t>Medium</t>
        </is>
      </c>
      <c r="E27" s="6" t="inlineStr">
        <is>
          <t>Not Started</t>
        </is>
      </c>
      <c r="F27" s="7">
        <f>IF(G27&gt;0, G27/10, 0)</f>
        <v/>
      </c>
      <c r="G27" s="6" t="n">
        <v>0</v>
      </c>
      <c r="H27" s="6" t="inlineStr">
        <is>
          <t>No</t>
        </is>
      </c>
      <c r="I27" s="6" t="inlineStr">
        <is>
          <t>No</t>
        </is>
      </c>
      <c r="J27" s="6" t="inlineStr">
        <is>
          <t>No</t>
        </is>
      </c>
      <c r="K27" s="17" t="inlineStr"/>
    </row>
    <row r="28">
      <c r="A28" s="6" t="inlineStr">
        <is>
          <t>Ch 23</t>
        </is>
      </c>
      <c r="B28" s="5" t="inlineStr">
        <is>
          <t>Triangles</t>
        </is>
      </c>
      <c r="C28" s="16" t="inlineStr">
        <is>
          <t>Congruence, Similarity, Centers of Triangle, Pythagoras</t>
        </is>
      </c>
      <c r="D28" s="6" t="inlineStr">
        <is>
          <t>High</t>
        </is>
      </c>
      <c r="E28" s="6" t="inlineStr">
        <is>
          <t>Not Started</t>
        </is>
      </c>
      <c r="F28" s="7">
        <f>IF(G28&gt;0, G28/12, 0)</f>
        <v/>
      </c>
      <c r="G28" s="6" t="n">
        <v>0</v>
      </c>
      <c r="H28" s="6" t="inlineStr">
        <is>
          <t>No</t>
        </is>
      </c>
      <c r="I28" s="6" t="inlineStr">
        <is>
          <t>No</t>
        </is>
      </c>
      <c r="J28" s="6" t="inlineStr">
        <is>
          <t>No</t>
        </is>
      </c>
      <c r="K28" s="17" t="inlineStr"/>
    </row>
    <row r="29">
      <c r="A29" s="6" t="inlineStr">
        <is>
          <t>Ch 24</t>
        </is>
      </c>
      <c r="B29" s="5" t="inlineStr">
        <is>
          <t>Quadrilateral and Polygon</t>
        </is>
      </c>
      <c r="C29" s="16" t="inlineStr">
        <is>
          <t>Parallelogram, Rectangle, Rhombus, Polygons Properties</t>
        </is>
      </c>
      <c r="D29" s="6" t="inlineStr">
        <is>
          <t>Medium</t>
        </is>
      </c>
      <c r="E29" s="6" t="inlineStr">
        <is>
          <t>Not Started</t>
        </is>
      </c>
      <c r="F29" s="7">
        <f>IF(G29&gt;0, G29/10, 0)</f>
        <v/>
      </c>
      <c r="G29" s="6" t="n">
        <v>0</v>
      </c>
      <c r="H29" s="6" t="inlineStr">
        <is>
          <t>No</t>
        </is>
      </c>
      <c r="I29" s="6" t="inlineStr">
        <is>
          <t>No</t>
        </is>
      </c>
      <c r="J29" s="6" t="inlineStr">
        <is>
          <t>No</t>
        </is>
      </c>
      <c r="K29" s="17" t="inlineStr"/>
    </row>
    <row r="30">
      <c r="A30" s="6" t="inlineStr">
        <is>
          <t>Ch 25</t>
        </is>
      </c>
      <c r="B30" s="5" t="inlineStr">
        <is>
          <t>Circle</t>
        </is>
      </c>
      <c r="C30" s="16" t="inlineStr">
        <is>
          <t>Chords, Tangents, Angles in Segments, Cyclic Quadrilaterals</t>
        </is>
      </c>
      <c r="D30" s="6" t="inlineStr">
        <is>
          <t>High</t>
        </is>
      </c>
      <c r="E30" s="6" t="inlineStr">
        <is>
          <t>Not Started</t>
        </is>
      </c>
      <c r="F30" s="7">
        <f>IF(G30&gt;0, G30/12, 0)</f>
        <v/>
      </c>
      <c r="G30" s="6" t="n">
        <v>0</v>
      </c>
      <c r="H30" s="6" t="inlineStr">
        <is>
          <t>No</t>
        </is>
      </c>
      <c r="I30" s="6" t="inlineStr">
        <is>
          <t>No</t>
        </is>
      </c>
      <c r="J30" s="6" t="inlineStr">
        <is>
          <t>No</t>
        </is>
      </c>
      <c r="K30" s="17" t="inlineStr"/>
    </row>
    <row r="31">
      <c r="A31" s="6" t="inlineStr">
        <is>
          <t>Ch 26</t>
        </is>
      </c>
      <c r="B31" s="5" t="inlineStr">
        <is>
          <t>Area and Perimeter (2D)</t>
        </is>
      </c>
      <c r="C31" s="16" t="inlineStr">
        <is>
          <t>Triangles, Circles, Quadrilaterals, Shaded Regions</t>
        </is>
      </c>
      <c r="D31" s="6" t="inlineStr">
        <is>
          <t>High</t>
        </is>
      </c>
      <c r="E31" s="6" t="inlineStr">
        <is>
          <t>Not Started</t>
        </is>
      </c>
      <c r="F31" s="7">
        <f>IF(G31&gt;0, G31/12, 0)</f>
        <v/>
      </c>
      <c r="G31" s="6" t="n">
        <v>0</v>
      </c>
      <c r="H31" s="6" t="inlineStr">
        <is>
          <t>No</t>
        </is>
      </c>
      <c r="I31" s="6" t="inlineStr">
        <is>
          <t>No</t>
        </is>
      </c>
      <c r="J31" s="6" t="inlineStr">
        <is>
          <t>No</t>
        </is>
      </c>
      <c r="K31" s="17" t="inlineStr"/>
    </row>
    <row r="32">
      <c r="A32" s="6" t="inlineStr">
        <is>
          <t>Ch 27</t>
        </is>
      </c>
      <c r="B32" s="5" t="inlineStr">
        <is>
          <t>Surface Area and Volume (3D)</t>
        </is>
      </c>
      <c r="C32" s="16" t="inlineStr">
        <is>
          <t>Cylinder, Cone, Sphere, Prism, Pyramid, Frustum</t>
        </is>
      </c>
      <c r="D32" s="6" t="inlineStr">
        <is>
          <t>High</t>
        </is>
      </c>
      <c r="E32" s="6" t="inlineStr">
        <is>
          <t>Not Started</t>
        </is>
      </c>
      <c r="F32" s="7">
        <f>IF(G32&gt;0, G32/12, 0)</f>
        <v/>
      </c>
      <c r="G32" s="6" t="n">
        <v>0</v>
      </c>
      <c r="H32" s="6" t="inlineStr">
        <is>
          <t>No</t>
        </is>
      </c>
      <c r="I32" s="6" t="inlineStr">
        <is>
          <t>No</t>
        </is>
      </c>
      <c r="J32" s="6" t="inlineStr">
        <is>
          <t>No</t>
        </is>
      </c>
      <c r="K32" s="17" t="inlineStr"/>
    </row>
    <row r="33">
      <c r="A33" s="6" t="inlineStr">
        <is>
          <t>Ch 28</t>
        </is>
      </c>
      <c r="B33" s="5" t="inlineStr">
        <is>
          <t>Statistics</t>
        </is>
      </c>
      <c r="C33" s="16" t="inlineStr">
        <is>
          <t>Mean, Median, Mode, Frequency Distribution, Histograms</t>
        </is>
      </c>
      <c r="D33" s="6" t="inlineStr">
        <is>
          <t>Medium</t>
        </is>
      </c>
      <c r="E33" s="6" t="inlineStr">
        <is>
          <t>Not Started</t>
        </is>
      </c>
      <c r="F33" s="7">
        <f>IF(G33&gt;0, G33/8, 0)</f>
        <v/>
      </c>
      <c r="G33" s="6" t="n">
        <v>0</v>
      </c>
      <c r="H33" s="6" t="inlineStr">
        <is>
          <t>No</t>
        </is>
      </c>
      <c r="I33" s="6" t="inlineStr">
        <is>
          <t>No</t>
        </is>
      </c>
      <c r="J33" s="6" t="inlineStr">
        <is>
          <t>No</t>
        </is>
      </c>
      <c r="K33"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PHYSICS - CHAPTER SYLLABUS &amp; TRACKER</t>
        </is>
      </c>
    </row>
    <row r="2">
      <c r="A2" s="2" t="inlineStr">
        <is>
          <t>Select Status and Revision drop-downs. Enter Practice Marks to auto-calculate percentages.</t>
        </is>
      </c>
    </row>
    <row r="4">
      <c r="A4" s="13" t="inlineStr">
        <is>
          <t>Total Chapters:</t>
        </is>
      </c>
      <c r="B4" s="13">
        <f>COUNTA(A6:A13)</f>
        <v/>
      </c>
      <c r="D4" s="13" t="inlineStr">
        <is>
          <t>Completed:</t>
        </is>
      </c>
      <c r="E4" s="13">
        <f>COUNTIF(E6:E13, "Completed")</f>
        <v/>
      </c>
      <c r="G4" s="13" t="inlineStr">
        <is>
          <t>Progress %:</t>
        </is>
      </c>
      <c r="H4" s="14">
        <f>E4/B4</f>
        <v/>
      </c>
      <c r="J4" s="13" t="inlineStr">
        <is>
          <t>Avg Practice Score:</t>
        </is>
      </c>
      <c r="K4" s="14">
        <f>AVERAGE(F6:F13)</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Mechanics &amp; Dynamics</t>
        </is>
      </c>
      <c r="C6" s="16" t="inlineStr">
        <is>
          <t>Kinematics, Newton Laws, Momentum, Friction, Work, Energy &amp; Power</t>
        </is>
      </c>
      <c r="D6" s="6" t="inlineStr">
        <is>
          <t>Medium</t>
        </is>
      </c>
      <c r="E6" s="6" t="inlineStr">
        <is>
          <t>Not Started</t>
        </is>
      </c>
      <c r="F6" s="7">
        <f>IF(G6&gt;0, G6/10, 0)</f>
        <v/>
      </c>
      <c r="G6" s="6" t="n">
        <v>0</v>
      </c>
      <c r="H6" s="6" t="inlineStr">
        <is>
          <t>No</t>
        </is>
      </c>
      <c r="I6" s="6" t="inlineStr">
        <is>
          <t>No</t>
        </is>
      </c>
      <c r="J6" s="6" t="inlineStr">
        <is>
          <t>No</t>
        </is>
      </c>
      <c r="K6" s="17" t="inlineStr"/>
    </row>
    <row r="7">
      <c r="A7" s="6" t="inlineStr">
        <is>
          <t>Ch 02</t>
        </is>
      </c>
      <c r="B7" s="5" t="inlineStr">
        <is>
          <t>Gravitation &amp; Rotational Motion</t>
        </is>
      </c>
      <c r="C7" s="16" t="inlineStr">
        <is>
          <t>Kepler Laws, Escape Velocity, Satellites, Torque, Angular Momentum</t>
        </is>
      </c>
      <c r="D7" s="6" t="inlineStr">
        <is>
          <t>Medium</t>
        </is>
      </c>
      <c r="E7" s="6" t="inlineStr">
        <is>
          <t>Not Started</t>
        </is>
      </c>
      <c r="F7" s="7">
        <f>IF(G7&gt;0, G7/8, 0)</f>
        <v/>
      </c>
      <c r="G7" s="6" t="n">
        <v>0</v>
      </c>
      <c r="H7" s="6" t="inlineStr">
        <is>
          <t>No</t>
        </is>
      </c>
      <c r="I7" s="6" t="inlineStr">
        <is>
          <t>No</t>
        </is>
      </c>
      <c r="J7" s="6" t="inlineStr">
        <is>
          <t>No</t>
        </is>
      </c>
      <c r="K7" s="17" t="inlineStr"/>
    </row>
    <row r="8">
      <c r="A8" s="6" t="inlineStr">
        <is>
          <t>Ch 03</t>
        </is>
      </c>
      <c r="B8" s="5" t="inlineStr">
        <is>
          <t>Properties of Matter &amp; Fluids</t>
        </is>
      </c>
      <c r="C8" s="16" t="inlineStr">
        <is>
          <t>Elasticity, Surface Tension, Viscosity, Pascal Law, Bernoulli Principle</t>
        </is>
      </c>
      <c r="D8" s="6" t="inlineStr">
        <is>
          <t>Medium</t>
        </is>
      </c>
      <c r="E8" s="6" t="inlineStr">
        <is>
          <t>Not Started</t>
        </is>
      </c>
      <c r="F8" s="7">
        <f>IF(G8&gt;0, G8/8, 0)</f>
        <v/>
      </c>
      <c r="G8" s="6" t="n">
        <v>0</v>
      </c>
      <c r="H8" s="6" t="inlineStr">
        <is>
          <t>No</t>
        </is>
      </c>
      <c r="I8" s="6" t="inlineStr">
        <is>
          <t>No</t>
        </is>
      </c>
      <c r="J8" s="6" t="inlineStr">
        <is>
          <t>No</t>
        </is>
      </c>
      <c r="K8" s="17" t="inlineStr"/>
    </row>
    <row r="9">
      <c r="A9" s="6" t="inlineStr">
        <is>
          <t>Ch 04</t>
        </is>
      </c>
      <c r="B9" s="5" t="inlineStr">
        <is>
          <t>Heat &amp; Thermodynamics</t>
        </is>
      </c>
      <c r="C9" s="16" t="inlineStr">
        <is>
          <t>Temperature Scales, Specific Heat, Latent Heat, Laws of Thermodynamics</t>
        </is>
      </c>
      <c r="D9" s="6" t="inlineStr">
        <is>
          <t>Medium</t>
        </is>
      </c>
      <c r="E9" s="6" t="inlineStr">
        <is>
          <t>Not Started</t>
        </is>
      </c>
      <c r="F9" s="7">
        <f>IF(G9&gt;0, G9/8, 0)</f>
        <v/>
      </c>
      <c r="G9" s="6" t="n">
        <v>0</v>
      </c>
      <c r="H9" s="6" t="inlineStr">
        <is>
          <t>No</t>
        </is>
      </c>
      <c r="I9" s="6" t="inlineStr">
        <is>
          <t>No</t>
        </is>
      </c>
      <c r="J9" s="6" t="inlineStr">
        <is>
          <t>No</t>
        </is>
      </c>
      <c r="K9" s="17" t="inlineStr"/>
    </row>
    <row r="10">
      <c r="A10" s="6" t="inlineStr">
        <is>
          <t>Ch 05</t>
        </is>
      </c>
      <c r="B10" s="5" t="inlineStr">
        <is>
          <t>Oscillations &amp; Waves</t>
        </is>
      </c>
      <c r="C10" s="16" t="inlineStr">
        <is>
          <t>Simple Harmonic Motion, Pendulum, Sound Waves, Doppler Effect</t>
        </is>
      </c>
      <c r="D10" s="6" t="inlineStr">
        <is>
          <t>Medium</t>
        </is>
      </c>
      <c r="E10" s="6" t="inlineStr">
        <is>
          <t>Not Started</t>
        </is>
      </c>
      <c r="F10" s="7">
        <f>IF(G10&gt;0, G10/8, 0)</f>
        <v/>
      </c>
      <c r="G10" s="6" t="n">
        <v>0</v>
      </c>
      <c r="H10" s="6" t="inlineStr">
        <is>
          <t>No</t>
        </is>
      </c>
      <c r="I10" s="6" t="inlineStr">
        <is>
          <t>No</t>
        </is>
      </c>
      <c r="J10" s="6" t="inlineStr">
        <is>
          <t>No</t>
        </is>
      </c>
      <c r="K10" s="17" t="inlineStr"/>
    </row>
    <row r="11">
      <c r="A11" s="6" t="inlineStr">
        <is>
          <t>Ch 06</t>
        </is>
      </c>
      <c r="B11" s="5" t="inlineStr">
        <is>
          <t>Optics &amp; Optical Instruments</t>
        </is>
      </c>
      <c r="C11" s="16" t="inlineStr">
        <is>
          <t>Reflection, Refraction, Lenses, Mirrors, Human Eye, Microscope, Telescope</t>
        </is>
      </c>
      <c r="D11" s="6" t="inlineStr">
        <is>
          <t>Medium</t>
        </is>
      </c>
      <c r="E11" s="6" t="inlineStr">
        <is>
          <t>Not Started</t>
        </is>
      </c>
      <c r="F11" s="7">
        <f>IF(G11&gt;0, G11/10, 0)</f>
        <v/>
      </c>
      <c r="G11" s="6" t="n">
        <v>0</v>
      </c>
      <c r="H11" s="6" t="inlineStr">
        <is>
          <t>No</t>
        </is>
      </c>
      <c r="I11" s="6" t="inlineStr">
        <is>
          <t>No</t>
        </is>
      </c>
      <c r="J11" s="6" t="inlineStr">
        <is>
          <t>No</t>
        </is>
      </c>
      <c r="K11" s="17" t="inlineStr"/>
    </row>
    <row r="12">
      <c r="A12" s="6" t="inlineStr">
        <is>
          <t>Ch 07</t>
        </is>
      </c>
      <c r="B12" s="5" t="inlineStr">
        <is>
          <t>Electricity &amp; Magnetism</t>
        </is>
      </c>
      <c r="C12" s="16" t="inlineStr">
        <is>
          <t>Ohm Law, Resistance, Kirchhoff Laws, Magnetic Field, Induction, AC</t>
        </is>
      </c>
      <c r="D12" s="6" t="inlineStr">
        <is>
          <t>Medium</t>
        </is>
      </c>
      <c r="E12" s="6" t="inlineStr">
        <is>
          <t>Not Started</t>
        </is>
      </c>
      <c r="F12" s="7">
        <f>IF(G12&gt;0, G12/10, 0)</f>
        <v/>
      </c>
      <c r="G12" s="6" t="n">
        <v>0</v>
      </c>
      <c r="H12" s="6" t="inlineStr">
        <is>
          <t>No</t>
        </is>
      </c>
      <c r="I12" s="6" t="inlineStr">
        <is>
          <t>No</t>
        </is>
      </c>
      <c r="J12" s="6" t="inlineStr">
        <is>
          <t>No</t>
        </is>
      </c>
      <c r="K12" s="17" t="inlineStr"/>
    </row>
    <row r="13">
      <c r="A13" s="6" t="inlineStr">
        <is>
          <t>Ch 08</t>
        </is>
      </c>
      <c r="B13" s="5" t="inlineStr">
        <is>
          <t>Modern Physics &amp; Communication</t>
        </is>
      </c>
      <c r="C13" s="16" t="inlineStr">
        <is>
          <t>Photoelectric Effect, Atomic Structure, Radioactivity, Semiconductors, Logic Gates</t>
        </is>
      </c>
      <c r="D13" s="6" t="inlineStr">
        <is>
          <t>Medium</t>
        </is>
      </c>
      <c r="E13" s="6" t="inlineStr">
        <is>
          <t>Not Started</t>
        </is>
      </c>
      <c r="F13" s="7">
        <f>IF(G13&gt;0, G13/8, 0)</f>
        <v/>
      </c>
      <c r="G13" s="6" t="n">
        <v>0</v>
      </c>
      <c r="H13" s="6" t="inlineStr">
        <is>
          <t>No</t>
        </is>
      </c>
      <c r="I13" s="6" t="inlineStr">
        <is>
          <t>No</t>
        </is>
      </c>
      <c r="J13" s="6" t="inlineStr">
        <is>
          <t>No</t>
        </is>
      </c>
      <c r="K13"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HISTORY - CHAPTER SYLLABUS &amp; TRACKER</t>
        </is>
      </c>
    </row>
    <row r="2">
      <c r="A2" s="2" t="inlineStr">
        <is>
          <t>Select Status and Revision drop-downs. Enter Practice Marks to auto-calculate percentages.</t>
        </is>
      </c>
    </row>
    <row r="4">
      <c r="A4" s="13" t="inlineStr">
        <is>
          <t>Total Chapters:</t>
        </is>
      </c>
      <c r="B4" s="13">
        <f>COUNTA(A6:A10)</f>
        <v/>
      </c>
      <c r="D4" s="13" t="inlineStr">
        <is>
          <t>Completed:</t>
        </is>
      </c>
      <c r="E4" s="13">
        <f>COUNTIF(E6:E10, "Completed")</f>
        <v/>
      </c>
      <c r="G4" s="13" t="inlineStr">
        <is>
          <t>Progress %:</t>
        </is>
      </c>
      <c r="H4" s="14">
        <f>E4/B4</f>
        <v/>
      </c>
      <c r="J4" s="13" t="inlineStr">
        <is>
          <t>Avg Practice Score:</t>
        </is>
      </c>
      <c r="K4" s="14">
        <f>AVERAGE(F6:F10)</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Ancient India</t>
        </is>
      </c>
      <c r="C6" s="16" t="inlineStr">
        <is>
          <t>Indus Valley, Vedic Age, Buddhism &amp; Jainism, Maurya &amp; Gupta Empire</t>
        </is>
      </c>
      <c r="D6" s="6" t="inlineStr">
        <is>
          <t>Medium</t>
        </is>
      </c>
      <c r="E6" s="6" t="inlineStr">
        <is>
          <t>Not Started</t>
        </is>
      </c>
      <c r="F6" s="7">
        <f>IF(G6&gt;0, G6/10, 0)</f>
        <v/>
      </c>
      <c r="G6" s="6" t="n">
        <v>0</v>
      </c>
      <c r="H6" s="6" t="inlineStr">
        <is>
          <t>No</t>
        </is>
      </c>
      <c r="I6" s="6" t="inlineStr">
        <is>
          <t>No</t>
        </is>
      </c>
      <c r="J6" s="6" t="inlineStr">
        <is>
          <t>No</t>
        </is>
      </c>
      <c r="K6" s="17" t="inlineStr"/>
    </row>
    <row r="7">
      <c r="A7" s="6" t="inlineStr">
        <is>
          <t>Ch 02</t>
        </is>
      </c>
      <c r="B7" s="5" t="inlineStr">
        <is>
          <t>Medieval India</t>
        </is>
      </c>
      <c r="C7" s="16" t="inlineStr">
        <is>
          <t>Delhi Sultanate, Mughal Empire, Vijayanagara, Bhakti &amp; Sufi Movements</t>
        </is>
      </c>
      <c r="D7" s="6" t="inlineStr">
        <is>
          <t>Medium</t>
        </is>
      </c>
      <c r="E7" s="6" t="inlineStr">
        <is>
          <t>Not Started</t>
        </is>
      </c>
      <c r="F7" s="7">
        <f>IF(G7&gt;0, G7/10, 0)</f>
        <v/>
      </c>
      <c r="G7" s="6" t="n">
        <v>0</v>
      </c>
      <c r="H7" s="6" t="inlineStr">
        <is>
          <t>No</t>
        </is>
      </c>
      <c r="I7" s="6" t="inlineStr">
        <is>
          <t>No</t>
        </is>
      </c>
      <c r="J7" s="6" t="inlineStr">
        <is>
          <t>No</t>
        </is>
      </c>
      <c r="K7" s="17" t="inlineStr"/>
    </row>
    <row r="8">
      <c r="A8" s="6" t="inlineStr">
        <is>
          <t>Ch 03</t>
        </is>
      </c>
      <c r="B8" s="5" t="inlineStr">
        <is>
          <t>Modern India &amp; Freedom Movement</t>
        </is>
      </c>
      <c r="C8" s="16" t="inlineStr">
        <is>
          <t>British Expansion, 1857 Revolt, INC, Gandhian Era, Independence 1947</t>
        </is>
      </c>
      <c r="D8" s="6" t="inlineStr">
        <is>
          <t>High</t>
        </is>
      </c>
      <c r="E8" s="6" t="inlineStr">
        <is>
          <t>Not Started</t>
        </is>
      </c>
      <c r="F8" s="7">
        <f>IF(G8&gt;0, G8/15, 0)</f>
        <v/>
      </c>
      <c r="G8" s="6" t="n">
        <v>0</v>
      </c>
      <c r="H8" s="6" t="inlineStr">
        <is>
          <t>No</t>
        </is>
      </c>
      <c r="I8" s="6" t="inlineStr">
        <is>
          <t>No</t>
        </is>
      </c>
      <c r="J8" s="6" t="inlineStr">
        <is>
          <t>No</t>
        </is>
      </c>
      <c r="K8" s="17" t="inlineStr"/>
    </row>
    <row r="9">
      <c r="A9" s="6" t="inlineStr">
        <is>
          <t>Ch 04</t>
        </is>
      </c>
      <c r="B9" s="5" t="inlineStr">
        <is>
          <t>World History</t>
        </is>
      </c>
      <c r="C9" s="16" t="inlineStr">
        <is>
          <t>Industrial Revolution, American &amp; French Revolutions, WWI &amp; WWII</t>
        </is>
      </c>
      <c r="D9" s="6" t="inlineStr">
        <is>
          <t>Medium</t>
        </is>
      </c>
      <c r="E9" s="6" t="inlineStr">
        <is>
          <t>Not Started</t>
        </is>
      </c>
      <c r="F9" s="7">
        <f>IF(G9&gt;0, G9/6, 0)</f>
        <v/>
      </c>
      <c r="G9" s="6" t="n">
        <v>0</v>
      </c>
      <c r="H9" s="6" t="inlineStr">
        <is>
          <t>No</t>
        </is>
      </c>
      <c r="I9" s="6" t="inlineStr">
        <is>
          <t>No</t>
        </is>
      </c>
      <c r="J9" s="6" t="inlineStr">
        <is>
          <t>No</t>
        </is>
      </c>
      <c r="K9" s="17" t="inlineStr"/>
    </row>
    <row r="10">
      <c r="A10" s="6" t="inlineStr">
        <is>
          <t>Ch 05</t>
        </is>
      </c>
      <c r="B10" s="5" t="inlineStr">
        <is>
          <t>Art, Architecture &amp; Culture</t>
        </is>
      </c>
      <c r="C10" s="16" t="inlineStr">
        <is>
          <t>Temple Architecture, Classical Dances, School of Art, Literature</t>
        </is>
      </c>
      <c r="D10" s="6" t="inlineStr">
        <is>
          <t>Medium</t>
        </is>
      </c>
      <c r="E10" s="6" t="inlineStr">
        <is>
          <t>Not Started</t>
        </is>
      </c>
      <c r="F10" s="7">
        <f>IF(G10&gt;0, G10/8, 0)</f>
        <v/>
      </c>
      <c r="G10" s="6" t="n">
        <v>0</v>
      </c>
      <c r="H10" s="6" t="inlineStr">
        <is>
          <t>No</t>
        </is>
      </c>
      <c r="I10" s="6" t="inlineStr">
        <is>
          <t>No</t>
        </is>
      </c>
      <c r="J10" s="6" t="inlineStr">
        <is>
          <t>No</t>
        </is>
      </c>
      <c r="K10"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GEOGRAPHY - CHAPTER SYLLABUS &amp; TRACKER</t>
        </is>
      </c>
    </row>
    <row r="2">
      <c r="A2" s="2" t="inlineStr">
        <is>
          <t>Select Status and Revision drop-downs. Enter Practice Marks to auto-calculate percentages.</t>
        </is>
      </c>
    </row>
    <row r="4">
      <c r="A4" s="13" t="inlineStr">
        <is>
          <t>Total Chapters:</t>
        </is>
      </c>
      <c r="B4" s="13">
        <f>COUNTA(A6:A11)</f>
        <v/>
      </c>
      <c r="D4" s="13" t="inlineStr">
        <is>
          <t>Completed:</t>
        </is>
      </c>
      <c r="E4" s="13">
        <f>COUNTIF(E6:E11, "Completed")</f>
        <v/>
      </c>
      <c r="G4" s="13" t="inlineStr">
        <is>
          <t>Progress %:</t>
        </is>
      </c>
      <c r="H4" s="14">
        <f>E4/B4</f>
        <v/>
      </c>
      <c r="J4" s="13" t="inlineStr">
        <is>
          <t>Avg Practice Score:</t>
        </is>
      </c>
      <c r="K4" s="14">
        <f>AVERAGE(F6:F11)</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Universe &amp; Solar System</t>
        </is>
      </c>
      <c r="C6" s="16" t="inlineStr">
        <is>
          <t>Planetary Motions, Eclipses, Latitude &amp; Longitude, Standard Time</t>
        </is>
      </c>
      <c r="D6" s="6" t="inlineStr">
        <is>
          <t>Medium</t>
        </is>
      </c>
      <c r="E6" s="6" t="inlineStr">
        <is>
          <t>Not Started</t>
        </is>
      </c>
      <c r="F6" s="7">
        <f>IF(G6&gt;0, G6/6, 0)</f>
        <v/>
      </c>
      <c r="G6" s="6" t="n">
        <v>0</v>
      </c>
      <c r="H6" s="6" t="inlineStr">
        <is>
          <t>No</t>
        </is>
      </c>
      <c r="I6" s="6" t="inlineStr">
        <is>
          <t>No</t>
        </is>
      </c>
      <c r="J6" s="6" t="inlineStr">
        <is>
          <t>No</t>
        </is>
      </c>
      <c r="K6" s="17" t="inlineStr"/>
    </row>
    <row r="7">
      <c r="A7" s="6" t="inlineStr">
        <is>
          <t>Ch 02</t>
        </is>
      </c>
      <c r="B7" s="5" t="inlineStr">
        <is>
          <t>Geomorphology &amp; Earth Interior</t>
        </is>
      </c>
      <c r="C7" s="16" t="inlineStr">
        <is>
          <t>Plate Tectonics, Earthquakes, Volcanoes, Rocks &amp; Landforms</t>
        </is>
      </c>
      <c r="D7" s="6" t="inlineStr">
        <is>
          <t>Medium</t>
        </is>
      </c>
      <c r="E7" s="6" t="inlineStr">
        <is>
          <t>Not Started</t>
        </is>
      </c>
      <c r="F7" s="7">
        <f>IF(G7&gt;0, G7/8, 0)</f>
        <v/>
      </c>
      <c r="G7" s="6" t="n">
        <v>0</v>
      </c>
      <c r="H7" s="6" t="inlineStr">
        <is>
          <t>No</t>
        </is>
      </c>
      <c r="I7" s="6" t="inlineStr">
        <is>
          <t>No</t>
        </is>
      </c>
      <c r="J7" s="6" t="inlineStr">
        <is>
          <t>No</t>
        </is>
      </c>
      <c r="K7" s="17" t="inlineStr"/>
    </row>
    <row r="8">
      <c r="A8" s="6" t="inlineStr">
        <is>
          <t>Ch 03</t>
        </is>
      </c>
      <c r="B8" s="5" t="inlineStr">
        <is>
          <t>Climatology &amp; Atmosphere</t>
        </is>
      </c>
      <c r="C8" s="16" t="inlineStr">
        <is>
          <t>Atmospheric Layers, Winds, Pressure Belts, Rainfall, Cyclones</t>
        </is>
      </c>
      <c r="D8" s="6" t="inlineStr">
        <is>
          <t>Medium</t>
        </is>
      </c>
      <c r="E8" s="6" t="inlineStr">
        <is>
          <t>Not Started</t>
        </is>
      </c>
      <c r="F8" s="7">
        <f>IF(G8&gt;0, G8/8, 0)</f>
        <v/>
      </c>
      <c r="G8" s="6" t="n">
        <v>0</v>
      </c>
      <c r="H8" s="6" t="inlineStr">
        <is>
          <t>No</t>
        </is>
      </c>
      <c r="I8" s="6" t="inlineStr">
        <is>
          <t>No</t>
        </is>
      </c>
      <c r="J8" s="6" t="inlineStr">
        <is>
          <t>No</t>
        </is>
      </c>
      <c r="K8" s="17" t="inlineStr"/>
    </row>
    <row r="9">
      <c r="A9" s="6" t="inlineStr">
        <is>
          <t>Ch 04</t>
        </is>
      </c>
      <c r="B9" s="5" t="inlineStr">
        <is>
          <t>Oceanography</t>
        </is>
      </c>
      <c r="C9" s="16" t="inlineStr">
        <is>
          <t>Ocean Relief, Salinity, Ocean Currents, Tides</t>
        </is>
      </c>
      <c r="D9" s="6" t="inlineStr">
        <is>
          <t>Medium</t>
        </is>
      </c>
      <c r="E9" s="6" t="inlineStr">
        <is>
          <t>Not Started</t>
        </is>
      </c>
      <c r="F9" s="7">
        <f>IF(G9&gt;0, G9/6, 0)</f>
        <v/>
      </c>
      <c r="G9" s="6" t="n">
        <v>0</v>
      </c>
      <c r="H9" s="6" t="inlineStr">
        <is>
          <t>No</t>
        </is>
      </c>
      <c r="I9" s="6" t="inlineStr">
        <is>
          <t>No</t>
        </is>
      </c>
      <c r="J9" s="6" t="inlineStr">
        <is>
          <t>No</t>
        </is>
      </c>
      <c r="K9" s="17" t="inlineStr"/>
    </row>
    <row r="10">
      <c r="A10" s="6" t="inlineStr">
        <is>
          <t>Ch 05</t>
        </is>
      </c>
      <c r="B10" s="5" t="inlineStr">
        <is>
          <t>Indian Physical Geography</t>
        </is>
      </c>
      <c r="C10" s="16" t="inlineStr">
        <is>
          <t>Physiographic Divisions, Rivers &amp; Drainage Systems, Climate &amp; Soils</t>
        </is>
      </c>
      <c r="D10" s="6" t="inlineStr">
        <is>
          <t>High</t>
        </is>
      </c>
      <c r="E10" s="6" t="inlineStr">
        <is>
          <t>Not Started</t>
        </is>
      </c>
      <c r="F10" s="7">
        <f>IF(G10&gt;0, G10/12, 0)</f>
        <v/>
      </c>
      <c r="G10" s="6" t="n">
        <v>0</v>
      </c>
      <c r="H10" s="6" t="inlineStr">
        <is>
          <t>No</t>
        </is>
      </c>
      <c r="I10" s="6" t="inlineStr">
        <is>
          <t>No</t>
        </is>
      </c>
      <c r="J10" s="6" t="inlineStr">
        <is>
          <t>No</t>
        </is>
      </c>
      <c r="K10" s="17" t="inlineStr"/>
    </row>
    <row r="11">
      <c r="A11" s="6" t="inlineStr">
        <is>
          <t>Ch 06</t>
        </is>
      </c>
      <c r="B11" s="5" t="inlineStr">
        <is>
          <t>Economic &amp; Human Geography</t>
        </is>
      </c>
      <c r="C11" s="16" t="inlineStr">
        <is>
          <t>Agriculture, Minerals, Industries, Transportation, Population</t>
        </is>
      </c>
      <c r="D11" s="6" t="inlineStr">
        <is>
          <t>Medium</t>
        </is>
      </c>
      <c r="E11" s="6" t="inlineStr">
        <is>
          <t>Not Started</t>
        </is>
      </c>
      <c r="F11" s="7">
        <f>IF(G11&gt;0, G11/8, 0)</f>
        <v/>
      </c>
      <c r="G11" s="6" t="n">
        <v>0</v>
      </c>
      <c r="H11" s="6" t="inlineStr">
        <is>
          <t>No</t>
        </is>
      </c>
      <c r="I11" s="6" t="inlineStr">
        <is>
          <t>No</t>
        </is>
      </c>
      <c r="J11" s="6" t="inlineStr">
        <is>
          <t>No</t>
        </is>
      </c>
      <c r="K11"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INDIAN POLITY - CHAPTER SYLLABUS &amp; TRACKER</t>
        </is>
      </c>
    </row>
    <row r="2">
      <c r="A2" s="2" t="inlineStr">
        <is>
          <t>Select Status and Revision drop-downs. Enter Practice Marks to auto-calculate percentages.</t>
        </is>
      </c>
    </row>
    <row r="4">
      <c r="A4" s="13" t="inlineStr">
        <is>
          <t>Total Chapters:</t>
        </is>
      </c>
      <c r="B4" s="13">
        <f>COUNTA(A6:A11)</f>
        <v/>
      </c>
      <c r="D4" s="13" t="inlineStr">
        <is>
          <t>Completed:</t>
        </is>
      </c>
      <c r="E4" s="13">
        <f>COUNTIF(E6:E11, "Completed")</f>
        <v/>
      </c>
      <c r="G4" s="13" t="inlineStr">
        <is>
          <t>Progress %:</t>
        </is>
      </c>
      <c r="H4" s="14">
        <f>E4/B4</f>
        <v/>
      </c>
      <c r="J4" s="13" t="inlineStr">
        <is>
          <t>Avg Practice Score:</t>
        </is>
      </c>
      <c r="K4" s="14">
        <f>AVERAGE(F6:F11)</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Constitutional Framework</t>
        </is>
      </c>
      <c r="C6" s="16" t="inlineStr">
        <is>
          <t>Making of Constitution, Preamble, Schedules, Features, Sources</t>
        </is>
      </c>
      <c r="D6" s="6" t="inlineStr">
        <is>
          <t>Medium</t>
        </is>
      </c>
      <c r="E6" s="6" t="inlineStr">
        <is>
          <t>Not Started</t>
        </is>
      </c>
      <c r="F6" s="7">
        <f>IF(G6&gt;0, G6/10, 0)</f>
        <v/>
      </c>
      <c r="G6" s="6" t="n">
        <v>0</v>
      </c>
      <c r="H6" s="6" t="inlineStr">
        <is>
          <t>No</t>
        </is>
      </c>
      <c r="I6" s="6" t="inlineStr">
        <is>
          <t>No</t>
        </is>
      </c>
      <c r="J6" s="6" t="inlineStr">
        <is>
          <t>No</t>
        </is>
      </c>
      <c r="K6" s="17" t="inlineStr"/>
    </row>
    <row r="7">
      <c r="A7" s="6" t="inlineStr">
        <is>
          <t>Ch 02</t>
        </is>
      </c>
      <c r="B7" s="5" t="inlineStr">
        <is>
          <t>Rights, Duties &amp; Principles</t>
        </is>
      </c>
      <c r="C7" s="16" t="inlineStr">
        <is>
          <t>Fundamental Rights, DPSP, Fundamental Duties, Citizenship</t>
        </is>
      </c>
      <c r="D7" s="6" t="inlineStr">
        <is>
          <t>High</t>
        </is>
      </c>
      <c r="E7" s="6" t="inlineStr">
        <is>
          <t>Not Started</t>
        </is>
      </c>
      <c r="F7" s="7">
        <f>IF(G7&gt;0, G7/12, 0)</f>
        <v/>
      </c>
      <c r="G7" s="6" t="n">
        <v>0</v>
      </c>
      <c r="H7" s="6" t="inlineStr">
        <is>
          <t>No</t>
        </is>
      </c>
      <c r="I7" s="6" t="inlineStr">
        <is>
          <t>No</t>
        </is>
      </c>
      <c r="J7" s="6" t="inlineStr">
        <is>
          <t>No</t>
        </is>
      </c>
      <c r="K7" s="17" t="inlineStr"/>
    </row>
    <row r="8">
      <c r="A8" s="6" t="inlineStr">
        <is>
          <t>Ch 03</t>
        </is>
      </c>
      <c r="B8" s="5" t="inlineStr">
        <is>
          <t>Union Executive &amp; Legislature</t>
        </is>
      </c>
      <c r="C8" s="16" t="inlineStr">
        <is>
          <t>President, Vice-President, Prime Minister, Parliament, Parliamentary Committees</t>
        </is>
      </c>
      <c r="D8" s="6" t="inlineStr">
        <is>
          <t>High</t>
        </is>
      </c>
      <c r="E8" s="6" t="inlineStr">
        <is>
          <t>Not Started</t>
        </is>
      </c>
      <c r="F8" s="7">
        <f>IF(G8&gt;0, G8/15, 0)</f>
        <v/>
      </c>
      <c r="G8" s="6" t="n">
        <v>0</v>
      </c>
      <c r="H8" s="6" t="inlineStr">
        <is>
          <t>No</t>
        </is>
      </c>
      <c r="I8" s="6" t="inlineStr">
        <is>
          <t>No</t>
        </is>
      </c>
      <c r="J8" s="6" t="inlineStr">
        <is>
          <t>No</t>
        </is>
      </c>
      <c r="K8" s="17" t="inlineStr"/>
    </row>
    <row r="9">
      <c r="A9" s="6" t="inlineStr">
        <is>
          <t>Ch 04</t>
        </is>
      </c>
      <c r="B9" s="5" t="inlineStr">
        <is>
          <t>State Executive &amp; Legislature</t>
        </is>
      </c>
      <c r="C9" s="16" t="inlineStr">
        <is>
          <t>Governor, Chief Minister, State Assembly &amp; Council</t>
        </is>
      </c>
      <c r="D9" s="6" t="inlineStr">
        <is>
          <t>Medium</t>
        </is>
      </c>
      <c r="E9" s="6" t="inlineStr">
        <is>
          <t>Not Started</t>
        </is>
      </c>
      <c r="F9" s="7">
        <f>IF(G9&gt;0, G9/8, 0)</f>
        <v/>
      </c>
      <c r="G9" s="6" t="n">
        <v>0</v>
      </c>
      <c r="H9" s="6" t="inlineStr">
        <is>
          <t>No</t>
        </is>
      </c>
      <c r="I9" s="6" t="inlineStr">
        <is>
          <t>No</t>
        </is>
      </c>
      <c r="J9" s="6" t="inlineStr">
        <is>
          <t>No</t>
        </is>
      </c>
      <c r="K9" s="17" t="inlineStr"/>
    </row>
    <row r="10">
      <c r="A10" s="6" t="inlineStr">
        <is>
          <t>Ch 05</t>
        </is>
      </c>
      <c r="B10" s="5" t="inlineStr">
        <is>
          <t>Judiciary</t>
        </is>
      </c>
      <c r="C10" s="16" t="inlineStr">
        <is>
          <t>Supreme Court, High Courts, Subordinate Courts, Judicial Review &amp; Activism</t>
        </is>
      </c>
      <c r="D10" s="6" t="inlineStr">
        <is>
          <t>Medium</t>
        </is>
      </c>
      <c r="E10" s="6" t="inlineStr">
        <is>
          <t>Not Started</t>
        </is>
      </c>
      <c r="F10" s="7">
        <f>IF(G10&gt;0, G10/10, 0)</f>
        <v/>
      </c>
      <c r="G10" s="6" t="n">
        <v>0</v>
      </c>
      <c r="H10" s="6" t="inlineStr">
        <is>
          <t>No</t>
        </is>
      </c>
      <c r="I10" s="6" t="inlineStr">
        <is>
          <t>No</t>
        </is>
      </c>
      <c r="J10" s="6" t="inlineStr">
        <is>
          <t>No</t>
        </is>
      </c>
      <c r="K10" s="17" t="inlineStr"/>
    </row>
    <row r="11">
      <c r="A11" s="6" t="inlineStr">
        <is>
          <t>Ch 06</t>
        </is>
      </c>
      <c r="B11" s="5" t="inlineStr">
        <is>
          <t>Local Government &amp; Bodies</t>
        </is>
      </c>
      <c r="C11" s="16" t="inlineStr">
        <is>
          <t>Panchayati Raj, Municipalities, Election Commission, UPSC, CAG, NITI Aayog</t>
        </is>
      </c>
      <c r="D11" s="6" t="inlineStr">
        <is>
          <t>Medium</t>
        </is>
      </c>
      <c r="E11" s="6" t="inlineStr">
        <is>
          <t>Not Started</t>
        </is>
      </c>
      <c r="F11" s="7">
        <f>IF(G11&gt;0, G11/10, 0)</f>
        <v/>
      </c>
      <c r="G11" s="6" t="n">
        <v>0</v>
      </c>
      <c r="H11" s="6" t="inlineStr">
        <is>
          <t>No</t>
        </is>
      </c>
      <c r="I11" s="6" t="inlineStr">
        <is>
          <t>No</t>
        </is>
      </c>
      <c r="J11" s="6" t="inlineStr">
        <is>
          <t>No</t>
        </is>
      </c>
      <c r="K11"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INDIAN ECONOMY - CHAPTER SYLLABUS &amp; TRACKER</t>
        </is>
      </c>
    </row>
    <row r="2">
      <c r="A2" s="2" t="inlineStr">
        <is>
          <t>Select Status and Revision drop-downs. Enter Practice Marks to auto-calculate percentages.</t>
        </is>
      </c>
    </row>
    <row r="4">
      <c r="A4" s="13" t="inlineStr">
        <is>
          <t>Total Chapters:</t>
        </is>
      </c>
      <c r="B4" s="13">
        <f>COUNTA(A6:A10)</f>
        <v/>
      </c>
      <c r="D4" s="13" t="inlineStr">
        <is>
          <t>Completed:</t>
        </is>
      </c>
      <c r="E4" s="13">
        <f>COUNTIF(E6:E10, "Completed")</f>
        <v/>
      </c>
      <c r="G4" s="13" t="inlineStr">
        <is>
          <t>Progress %:</t>
        </is>
      </c>
      <c r="H4" s="14">
        <f>E4/B4</f>
        <v/>
      </c>
      <c r="J4" s="13" t="inlineStr">
        <is>
          <t>Avg Practice Score:</t>
        </is>
      </c>
      <c r="K4" s="14">
        <f>AVERAGE(F6:F10)</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Economic Basics &amp; National Income</t>
        </is>
      </c>
      <c r="C6" s="16" t="inlineStr">
        <is>
          <t>GDP, GNP, NNP, Inflation, Deflation, Business Cycles</t>
        </is>
      </c>
      <c r="D6" s="6" t="inlineStr">
        <is>
          <t>Medium</t>
        </is>
      </c>
      <c r="E6" s="6" t="inlineStr">
        <is>
          <t>Not Started</t>
        </is>
      </c>
      <c r="F6" s="7">
        <f>IF(G6&gt;0, G6/10, 0)</f>
        <v/>
      </c>
      <c r="G6" s="6" t="n">
        <v>0</v>
      </c>
      <c r="H6" s="6" t="inlineStr">
        <is>
          <t>No</t>
        </is>
      </c>
      <c r="I6" s="6" t="inlineStr">
        <is>
          <t>No</t>
        </is>
      </c>
      <c r="J6" s="6" t="inlineStr">
        <is>
          <t>No</t>
        </is>
      </c>
      <c r="K6" s="17" t="inlineStr"/>
    </row>
    <row r="7">
      <c r="A7" s="6" t="inlineStr">
        <is>
          <t>Ch 02</t>
        </is>
      </c>
      <c r="B7" s="5" t="inlineStr">
        <is>
          <t>Banking &amp; Monetary Policy</t>
        </is>
      </c>
      <c r="C7" s="16" t="inlineStr">
        <is>
          <t>RBI, Repo Rate, Cash Reserve Ratio, Commercial Banks, NPA, Financial Inclusion</t>
        </is>
      </c>
      <c r="D7" s="6" t="inlineStr">
        <is>
          <t>High</t>
        </is>
      </c>
      <c r="E7" s="6" t="inlineStr">
        <is>
          <t>Not Started</t>
        </is>
      </c>
      <c r="F7" s="7">
        <f>IF(G7&gt;0, G7/12, 0)</f>
        <v/>
      </c>
      <c r="G7" s="6" t="n">
        <v>0</v>
      </c>
      <c r="H7" s="6" t="inlineStr">
        <is>
          <t>No</t>
        </is>
      </c>
      <c r="I7" s="6" t="inlineStr">
        <is>
          <t>No</t>
        </is>
      </c>
      <c r="J7" s="6" t="inlineStr">
        <is>
          <t>No</t>
        </is>
      </c>
      <c r="K7" s="17" t="inlineStr"/>
    </row>
    <row r="8">
      <c r="A8" s="6" t="inlineStr">
        <is>
          <t>Ch 03</t>
        </is>
      </c>
      <c r="B8" s="5" t="inlineStr">
        <is>
          <t>Fiscal Policy &amp; Public Finance</t>
        </is>
      </c>
      <c r="C8" s="16" t="inlineStr">
        <is>
          <t>Union Budget, Revenue &amp; Capital Deficits, GST, Finance Commission</t>
        </is>
      </c>
      <c r="D8" s="6" t="inlineStr">
        <is>
          <t>Medium</t>
        </is>
      </c>
      <c r="E8" s="6" t="inlineStr">
        <is>
          <t>Not Started</t>
        </is>
      </c>
      <c r="F8" s="7">
        <f>IF(G8&gt;0, G8/10, 0)</f>
        <v/>
      </c>
      <c r="G8" s="6" t="n">
        <v>0</v>
      </c>
      <c r="H8" s="6" t="inlineStr">
        <is>
          <t>No</t>
        </is>
      </c>
      <c r="I8" s="6" t="inlineStr">
        <is>
          <t>No</t>
        </is>
      </c>
      <c r="J8" s="6" t="inlineStr">
        <is>
          <t>No</t>
        </is>
      </c>
      <c r="K8" s="17" t="inlineStr"/>
    </row>
    <row r="9">
      <c r="A9" s="6" t="inlineStr">
        <is>
          <t>Ch 04</t>
        </is>
      </c>
      <c r="B9" s="5" t="inlineStr">
        <is>
          <t>Planning &amp; Economic Development</t>
        </is>
      </c>
      <c r="C9" s="16" t="inlineStr">
        <is>
          <t>Five Year Plans, NITI Aayog, Poverty, Unemployment, HDI</t>
        </is>
      </c>
      <c r="D9" s="6" t="inlineStr">
        <is>
          <t>Medium</t>
        </is>
      </c>
      <c r="E9" s="6" t="inlineStr">
        <is>
          <t>Not Started</t>
        </is>
      </c>
      <c r="F9" s="7">
        <f>IF(G9&gt;0, G9/8, 0)</f>
        <v/>
      </c>
      <c r="G9" s="6" t="n">
        <v>0</v>
      </c>
      <c r="H9" s="6" t="inlineStr">
        <is>
          <t>No</t>
        </is>
      </c>
      <c r="I9" s="6" t="inlineStr">
        <is>
          <t>No</t>
        </is>
      </c>
      <c r="J9" s="6" t="inlineStr">
        <is>
          <t>No</t>
        </is>
      </c>
      <c r="K9" s="17" t="inlineStr"/>
    </row>
    <row r="10">
      <c r="A10" s="6" t="inlineStr">
        <is>
          <t>Ch 05</t>
        </is>
      </c>
      <c r="B10" s="5" t="inlineStr">
        <is>
          <t>External Sector &amp; International Trade</t>
        </is>
      </c>
      <c r="C10" s="16" t="inlineStr">
        <is>
          <t>BOP, Forex Reserves, FDI, FII, WTO, IMF, World Bank</t>
        </is>
      </c>
      <c r="D10" s="6" t="inlineStr">
        <is>
          <t>Medium</t>
        </is>
      </c>
      <c r="E10" s="6" t="inlineStr">
        <is>
          <t>Not Started</t>
        </is>
      </c>
      <c r="F10" s="7">
        <f>IF(G10&gt;0, G10/8, 0)</f>
        <v/>
      </c>
      <c r="G10" s="6" t="n">
        <v>0</v>
      </c>
      <c r="H10" s="6" t="inlineStr">
        <is>
          <t>No</t>
        </is>
      </c>
      <c r="I10" s="6" t="inlineStr">
        <is>
          <t>No</t>
        </is>
      </c>
      <c r="J10" s="6" t="inlineStr">
        <is>
          <t>No</t>
        </is>
      </c>
      <c r="K10"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14" customWidth="1" min="1" max="1"/>
    <col width="32" customWidth="1" min="2" max="2"/>
    <col width="48" customWidth="1" min="3" max="3"/>
    <col width="12" customWidth="1" min="4" max="4"/>
    <col width="20" customWidth="1" min="5" max="5"/>
    <col width="18" customWidth="1" min="6" max="6"/>
    <col width="24" customWidth="1" min="7" max="7"/>
    <col width="12" customWidth="1" min="8" max="8"/>
    <col width="12" customWidth="1" min="9" max="9"/>
    <col width="12" customWidth="1" min="10" max="10"/>
    <col width="30" customWidth="1" min="11" max="11"/>
  </cols>
  <sheetData>
    <row r="1">
      <c r="A1" s="1" t="inlineStr">
        <is>
          <t>GENERAL KNOWLEDGE - CHAPTER SYLLABUS &amp; TRACKER</t>
        </is>
      </c>
    </row>
    <row r="2">
      <c r="A2" s="2" t="inlineStr">
        <is>
          <t>Select Status and Revision drop-downs. Enter Practice Marks to auto-calculate percentages.</t>
        </is>
      </c>
    </row>
    <row r="4">
      <c r="A4" s="13" t="inlineStr">
        <is>
          <t>Total Chapters:</t>
        </is>
      </c>
      <c r="B4" s="13">
        <f>COUNTA(A6:A9)</f>
        <v/>
      </c>
      <c r="D4" s="13" t="inlineStr">
        <is>
          <t>Completed:</t>
        </is>
      </c>
      <c r="E4" s="13">
        <f>COUNTIF(E6:E9, "Completed")</f>
        <v/>
      </c>
      <c r="G4" s="13" t="inlineStr">
        <is>
          <t>Progress %:</t>
        </is>
      </c>
      <c r="H4" s="14">
        <f>E4/B4</f>
        <v/>
      </c>
      <c r="J4" s="13" t="inlineStr">
        <is>
          <t>Avg Practice Score:</t>
        </is>
      </c>
      <c r="K4" s="14">
        <f>AVERAGE(F6:F9)</f>
        <v/>
      </c>
    </row>
    <row r="5">
      <c r="A5" s="15" t="inlineStr">
        <is>
          <t>Chapter Code</t>
        </is>
      </c>
      <c r="B5" s="15" t="inlineStr">
        <is>
          <t>Chapter Title</t>
        </is>
      </c>
      <c r="C5" s="15" t="inlineStr">
        <is>
          <t>Sub-topics &amp; Key Concepts</t>
        </is>
      </c>
      <c r="D5" s="15" t="inlineStr">
        <is>
          <t>Priority</t>
        </is>
      </c>
      <c r="E5" s="15" t="inlineStr">
        <is>
          <t>Status (Checkmark)</t>
        </is>
      </c>
      <c r="F5" s="15" t="inlineStr">
        <is>
          <t>Practice Score (%)</t>
        </is>
      </c>
      <c r="G5" s="15" t="inlineStr">
        <is>
          <t>Practice Marks (Obtained / Max)</t>
        </is>
      </c>
      <c r="H5" s="15" t="inlineStr">
        <is>
          <t>Revision 1</t>
        </is>
      </c>
      <c r="I5" s="15" t="inlineStr">
        <is>
          <t>Revision 2</t>
        </is>
      </c>
      <c r="J5" s="15" t="inlineStr">
        <is>
          <t>Revision 3</t>
        </is>
      </c>
      <c r="K5" s="15" t="inlineStr">
        <is>
          <t>Notes / Weak Areas</t>
        </is>
      </c>
    </row>
    <row r="6">
      <c r="A6" s="6" t="inlineStr">
        <is>
          <t>Ch 01</t>
        </is>
      </c>
      <c r="B6" s="5" t="inlineStr">
        <is>
          <t>Defense &amp; Security Forces</t>
        </is>
      </c>
      <c r="C6" s="16" t="inlineStr">
        <is>
          <t>Indian Armed Forces Commands, Weapons, Exercises, Defense Academies</t>
        </is>
      </c>
      <c r="D6" s="6" t="inlineStr">
        <is>
          <t>High</t>
        </is>
      </c>
      <c r="E6" s="6" t="inlineStr">
        <is>
          <t>Not Started</t>
        </is>
      </c>
      <c r="F6" s="7">
        <f>IF(G6&gt;0, G6/12, 0)</f>
        <v/>
      </c>
      <c r="G6" s="6" t="n">
        <v>0</v>
      </c>
      <c r="H6" s="6" t="inlineStr">
        <is>
          <t>No</t>
        </is>
      </c>
      <c r="I6" s="6" t="inlineStr">
        <is>
          <t>No</t>
        </is>
      </c>
      <c r="J6" s="6" t="inlineStr">
        <is>
          <t>No</t>
        </is>
      </c>
      <c r="K6" s="17" t="inlineStr"/>
    </row>
    <row r="7">
      <c r="A7" s="6" t="inlineStr">
        <is>
          <t>Ch 02</t>
        </is>
      </c>
      <c r="B7" s="5" t="inlineStr">
        <is>
          <t>Space &amp; Technology</t>
        </is>
      </c>
      <c r="C7" s="16" t="inlineStr">
        <is>
          <t>ISRO Missions, DRDO Technologies, Satellites, Missiles</t>
        </is>
      </c>
      <c r="D7" s="6" t="inlineStr">
        <is>
          <t>Medium</t>
        </is>
      </c>
      <c r="E7" s="6" t="inlineStr">
        <is>
          <t>Not Started</t>
        </is>
      </c>
      <c r="F7" s="7">
        <f>IF(G7&gt;0, G7/10, 0)</f>
        <v/>
      </c>
      <c r="G7" s="6" t="n">
        <v>0</v>
      </c>
      <c r="H7" s="6" t="inlineStr">
        <is>
          <t>No</t>
        </is>
      </c>
      <c r="I7" s="6" t="inlineStr">
        <is>
          <t>No</t>
        </is>
      </c>
      <c r="J7" s="6" t="inlineStr">
        <is>
          <t>No</t>
        </is>
      </c>
      <c r="K7" s="17" t="inlineStr"/>
    </row>
    <row r="8">
      <c r="A8" s="6" t="inlineStr">
        <is>
          <t>Ch 03</t>
        </is>
      </c>
      <c r="B8" s="5" t="inlineStr">
        <is>
          <t>Awards, Honours &amp; Sports</t>
        </is>
      </c>
      <c r="C8" s="16" t="inlineStr">
        <is>
          <t>Gallantry Awards, Bharat Ratna, Nobel Prize, National Games, Olympics</t>
        </is>
      </c>
      <c r="D8" s="6" t="inlineStr">
        <is>
          <t>Medium</t>
        </is>
      </c>
      <c r="E8" s="6" t="inlineStr">
        <is>
          <t>Not Started</t>
        </is>
      </c>
      <c r="F8" s="7">
        <f>IF(G8&gt;0, G8/8, 0)</f>
        <v/>
      </c>
      <c r="G8" s="6" t="n">
        <v>0</v>
      </c>
      <c r="H8" s="6" t="inlineStr">
        <is>
          <t>No</t>
        </is>
      </c>
      <c r="I8" s="6" t="inlineStr">
        <is>
          <t>No</t>
        </is>
      </c>
      <c r="J8" s="6" t="inlineStr">
        <is>
          <t>No</t>
        </is>
      </c>
      <c r="K8" s="17" t="inlineStr"/>
    </row>
    <row r="9">
      <c r="A9" s="6" t="inlineStr">
        <is>
          <t>Ch 04</t>
        </is>
      </c>
      <c r="B9" s="5" t="inlineStr">
        <is>
          <t>Books, Authors &amp; Static GK</t>
        </is>
      </c>
      <c r="C9" s="16" t="inlineStr">
        <is>
          <t>Famous Books, National Parks, Wildlife Sanctuaries, Important Days</t>
        </is>
      </c>
      <c r="D9" s="6" t="inlineStr">
        <is>
          <t>Medium</t>
        </is>
      </c>
      <c r="E9" s="6" t="inlineStr">
        <is>
          <t>Not Started</t>
        </is>
      </c>
      <c r="F9" s="7">
        <f>IF(G9&gt;0, G9/8, 0)</f>
        <v/>
      </c>
      <c r="G9" s="6" t="n">
        <v>0</v>
      </c>
      <c r="H9" s="6" t="inlineStr">
        <is>
          <t>No</t>
        </is>
      </c>
      <c r="I9" s="6" t="inlineStr">
        <is>
          <t>No</t>
        </is>
      </c>
      <c r="J9" s="6" t="inlineStr">
        <is>
          <t>No</t>
        </is>
      </c>
      <c r="K9" s="17" t="inlineStr"/>
    </row>
  </sheetData>
  <dataValidations count="3">
    <dataValidation sqref="E6 E7 E8 E9 E10 E11 E12 E13 E14 E15 E16 E17 E18 E19 E20 E21 E22 E23 E24 E25 E26 E27 E28 E29 E30 E31 E32 E33" showDropDown="0" showInputMessage="0" showErrorMessage="0" allowBlank="1" type="list">
      <formula1>"Not Started,In Progress,Completed"</formula1>
    </dataValidation>
    <dataValidation sqref="H6 H7 H8 H9 H10 H11 H12 H13 H14 H15 H16 H17 H18 H19 H20 H21 H22 H23 H24 H25 H26 H27 H28 H29 H30 H31 H32 H33 I6 I7 I8 I9 I10 I11 I12 I13 I14 I15 I16 I17 I18 I19 I20 I21 I22 I23 I24 I25 I26 I27 I28 I29 I30 I31 I32 I33 J6 J7 J8 J9 J10 J11 J12 J13 J14 J15 J16 J17 J18 J19 J20 J21 J22 J23 J24 J25 J26 J27 J28 J29 J30 J31 J32 J33" showDropDown="0" showInputMessage="0" showErrorMessage="0" allowBlank="1" type="list">
      <formula1>"Yes,No"</formula1>
    </dataValidation>
    <dataValidation sqref="D6 D7 D8 D9 D10 D11 D12 D13 D14 D15 D16 D17 D18 D19 D20 D21 D22 D23 D24 D25 D26 D27 D28 D29 D30 D31 D32 D33"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2026-09-04T01:58:47Z</dcterms:created>
  <dcterms:modified xsi:type="dcterms:W3CDTF">2026-09-04T01:58:47Z</dcterms:modified>
</cp:coreProperties>
</file>